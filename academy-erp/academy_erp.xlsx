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urses" sheetId="2" state="visible" r:id="rId2"/>
    <sheet name="Students" sheetId="3" state="visible" r:id="rId3"/>
    <sheet name="Sessions" sheetId="4" state="visible" r:id="rId4"/>
    <sheet name="Attendance" sheetId="5" state="visible" r:id="rId5"/>
    <sheet name="Monthly_Hours" sheetId="6" state="visible" r:id="rId6"/>
    <sheet name="Dashboard" sheetId="7" state="visible" r:id="rId7"/>
  </sheets>
  <definedNames>
    <definedName name="_xlnm._FilterDatabase" localSheetId="1" hidden="1">'Courses'!$A$1:$F$4</definedName>
    <definedName name="_xlnm._FilterDatabase" localSheetId="2" hidden="1">'Students'!$A$1:$N$21</definedName>
    <definedName name="_xlnm._FilterDatabase" localSheetId="3" hidden="1">'Sessions'!$A$1:$E$61</definedName>
    <definedName name="_xlnm._FilterDatabase" localSheetId="4" hidden="1">'Attendance'!$A$1:$F$31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E2A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166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Academy ERP — Excel (dynamic formulas)</t>
        </is>
      </c>
    </row>
    <row r="3">
      <c r="A3" t="inlineStr">
        <is>
          <t>1) COURSES: fill Course_Name, Hours_Per_Session (set once at start), Start_Date (first session), Weekday, Price_Per_4.</t>
        </is>
      </c>
    </row>
    <row r="4">
      <c r="A4" t="inlineStr">
        <is>
          <t>2) SESSIONS sheet auto-generates 1 session/week: Date = Start_Date + (Session#-1)*7. Change course start -&gt; all dates update.</t>
        </is>
      </c>
    </row>
    <row r="5">
      <c r="A5" t="inlineStr">
        <is>
          <t>3) STUDENTS: fill Name, DOB (Age auto =DATEDIF), Phone, Course_Name (dropdown), Sub_Start. Rest is AUTO.</t>
        </is>
      </c>
    </row>
    <row r="6">
      <c r="A6" t="inlineStr">
        <is>
          <t>4) SUBSCRIPTION = pay every 4 sessions. Sub_End = Sub_Start + 21 days. +7 more if 1 excused absence used.</t>
        </is>
      </c>
    </row>
    <row r="7">
      <c r="A7" t="inlineStr">
        <is>
          <t xml:space="preserve">   Example: start 2026-09-07 -&gt; end 2026-09-28. With 1 excused -&gt; end 2026-10-05.</t>
        </is>
      </c>
    </row>
    <row r="8">
      <c r="A8" t="inlineStr">
        <is>
          <t>5) ATTENDANCE: log Student_Name + Session_Date + Status (Present/Excused/Counted). Only ONE Excused per student per course counts — second Excused is treated as Counted (see column E).</t>
        </is>
      </c>
    </row>
    <row r="9">
      <c r="A9" t="inlineStr">
        <is>
          <t>6) MONTHLY totals: Sessions!D month + Monthly_Hours COUNTIFS x Hours. DASHBOARD sums current month via SUMIFS + TODAY().</t>
        </is>
      </c>
    </row>
    <row r="10">
      <c r="A10" t="inlineStr">
        <is>
          <t>7) PAY: Students!L = Paid/Unpaid dropdown. Dashboard counts unpaid + expiring (Days_Left&lt;=7).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2" t="inlineStr">
        <is>
          <t>CourseID</t>
        </is>
      </c>
      <c r="B1" s="2" t="inlineStr">
        <is>
          <t>Course_Name</t>
        </is>
      </c>
      <c r="C1" s="2" t="inlineStr">
        <is>
          <t>Hours_Per_Session</t>
        </is>
      </c>
      <c r="D1" s="2" t="inlineStr">
        <is>
          <t>Start_Date</t>
        </is>
      </c>
      <c r="E1" s="2" t="inlineStr">
        <is>
          <t>Weekday</t>
        </is>
      </c>
      <c r="F1" s="2" t="inlineStr">
        <is>
          <t>Price_Per_4</t>
        </is>
      </c>
    </row>
    <row r="2">
      <c r="A2" t="inlineStr">
        <is>
          <t>C1</t>
        </is>
      </c>
      <c r="B2" t="inlineStr">
        <is>
          <t>English A1</t>
        </is>
      </c>
      <c r="C2" s="3" t="n">
        <v>2</v>
      </c>
      <c r="D2" s="4" t="n">
        <v>46272</v>
      </c>
      <c r="E2" t="inlineStr">
        <is>
          <t>Monday</t>
        </is>
      </c>
      <c r="F2" t="n">
        <v>800</v>
      </c>
    </row>
    <row r="3">
      <c r="A3" t="inlineStr">
        <is>
          <t>C2</t>
        </is>
      </c>
      <c r="B3" t="inlineStr">
        <is>
          <t>Math Kids</t>
        </is>
      </c>
      <c r="C3" s="3" t="n">
        <v>1.5</v>
      </c>
      <c r="D3" s="4" t="n">
        <v>46270</v>
      </c>
      <c r="E3" t="inlineStr">
        <is>
          <t>Saturday</t>
        </is>
      </c>
      <c r="F3" t="n">
        <v>600</v>
      </c>
    </row>
    <row r="4">
      <c r="A4" t="inlineStr">
        <is>
          <t>C3</t>
        </is>
      </c>
      <c r="B4" t="inlineStr"/>
      <c r="C4" t="inlineStr"/>
      <c r="D4" s="4" t="inlineStr"/>
      <c r="E4" t="inlineStr"/>
      <c r="F4" t="inlineStr"/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>
      <c r="A1" s="2" t="inlineStr">
        <is>
          <t>ID</t>
        </is>
      </c>
      <c r="B1" s="2" t="inlineStr">
        <is>
          <t>Student_Name</t>
        </is>
      </c>
      <c r="C1" s="2" t="inlineStr">
        <is>
          <t>DOB</t>
        </is>
      </c>
      <c r="D1" s="2" t="inlineStr">
        <is>
          <t>Age_auto</t>
        </is>
      </c>
      <c r="E1" s="2" t="inlineStr">
        <is>
          <t>Phone</t>
        </is>
      </c>
      <c r="F1" s="2" t="inlineStr">
        <is>
          <t>Course_Name</t>
        </is>
      </c>
      <c r="G1" s="2" t="inlineStr">
        <is>
          <t>Sub_Start</t>
        </is>
      </c>
      <c r="H1" s="2" t="inlineStr">
        <is>
          <t>Hours_auto</t>
        </is>
      </c>
      <c r="I1" s="2" t="inlineStr">
        <is>
          <t>Excused_Used</t>
        </is>
      </c>
      <c r="J1" s="2" t="inlineStr">
        <is>
          <t>Sub_End_auto</t>
        </is>
      </c>
      <c r="K1" s="2" t="inlineStr">
        <is>
          <t>Days_Left_auto</t>
        </is>
      </c>
      <c r="L1" s="2" t="inlineStr">
        <is>
          <t>Pay_Status</t>
        </is>
      </c>
      <c r="M1" s="2" t="inlineStr">
        <is>
          <t>Present_Count</t>
        </is>
      </c>
      <c r="N1" s="2" t="inlineStr">
        <is>
          <t>Next_Due</t>
        </is>
      </c>
    </row>
    <row r="2">
      <c r="A2" t="inlineStr">
        <is>
          <t>S1</t>
        </is>
      </c>
      <c r="B2" t="inlineStr">
        <is>
          <t>Ahmed Ali</t>
        </is>
      </c>
      <c r="C2" s="4" t="n">
        <v>42073</v>
      </c>
      <c r="D2">
        <f>IF(C2="","",DATEDIF(C2,TODAY(),"Y"))</f>
        <v/>
      </c>
      <c r="E2" t="inlineStr">
        <is>
          <t>0100000001</t>
        </is>
      </c>
      <c r="F2" t="inlineStr">
        <is>
          <t>English A1</t>
        </is>
      </c>
      <c r="G2" s="4" t="n">
        <v>46272</v>
      </c>
      <c r="H2">
        <f>IF(F2="","",VLOOKUP(F2,Courses!$B:$C,2,FALSE))</f>
        <v/>
      </c>
      <c r="I2">
        <f>IF(B2="","",COUNTIFS(Attendance!$A:$A,B2,Attendance!$D:$D,"Excused"))</f>
        <v/>
      </c>
      <c r="J2" s="4">
        <f>IF(G2="","",G2+21+7*(I2&gt;=1))</f>
        <v/>
      </c>
      <c r="K2">
        <f>IF(J2="","",J2-TODAY())</f>
        <v/>
      </c>
      <c r="L2" t="inlineStr">
        <is>
          <t>Unpaid</t>
        </is>
      </c>
      <c r="M2">
        <f>IF(B2="","",COUNTIFS(Attendance!$A:$A,B2,Attendance!$D:$D,"Present"))</f>
        <v/>
      </c>
      <c r="N2" s="4">
        <f>IF(J2="","",J2+7)</f>
        <v/>
      </c>
    </row>
    <row r="3">
      <c r="A3" t="inlineStr">
        <is>
          <t>S2</t>
        </is>
      </c>
      <c r="B3" t="inlineStr">
        <is>
          <t>Sara Mohamed</t>
        </is>
      </c>
      <c r="C3" s="4" t="n">
        <v>41110</v>
      </c>
      <c r="D3">
        <f>IF(C3="","",DATEDIF(C3,TODAY(),"Y"))</f>
        <v/>
      </c>
      <c r="E3" t="inlineStr">
        <is>
          <t>0100000002</t>
        </is>
      </c>
      <c r="F3" t="inlineStr">
        <is>
          <t>English A1</t>
        </is>
      </c>
      <c r="G3" s="4" t="n">
        <v>46272</v>
      </c>
      <c r="H3">
        <f>IF(F3="","",VLOOKUP(F3,Courses!$B:$C,2,FALSE))</f>
        <v/>
      </c>
      <c r="I3">
        <f>IF(B3="","",COUNTIFS(Attendance!$A:$A,B3,Attendance!$D:$D,"Excused"))</f>
        <v/>
      </c>
      <c r="J3" s="4">
        <f>IF(G3="","",G3+21+7*(I3&gt;=1))</f>
        <v/>
      </c>
      <c r="K3">
        <f>IF(J3="","",J3-TODAY())</f>
        <v/>
      </c>
      <c r="L3" t="inlineStr">
        <is>
          <t>Unpaid</t>
        </is>
      </c>
      <c r="M3">
        <f>IF(B3="","",COUNTIFS(Attendance!$A:$A,B3,Attendance!$D:$D,"Present"))</f>
        <v/>
      </c>
      <c r="N3" s="4">
        <f>IF(J3="","",J3+7)</f>
        <v/>
      </c>
    </row>
    <row r="4">
      <c r="A4" t="inlineStr">
        <is>
          <t>S3</t>
        </is>
      </c>
      <c r="B4" t="inlineStr">
        <is>
          <t>Omar Khaled</t>
        </is>
      </c>
      <c r="C4" s="4" t="n">
        <v>42374</v>
      </c>
      <c r="D4">
        <f>IF(C4="","",DATEDIF(C4,TODAY(),"Y"))</f>
        <v/>
      </c>
      <c r="E4" t="inlineStr">
        <is>
          <t>0100000003</t>
        </is>
      </c>
      <c r="F4" t="inlineStr">
        <is>
          <t>Math Kids</t>
        </is>
      </c>
      <c r="G4" s="4" t="n">
        <v>46270</v>
      </c>
      <c r="H4">
        <f>IF(F4="","",VLOOKUP(F4,Courses!$B:$C,2,FALSE))</f>
        <v/>
      </c>
      <c r="I4">
        <f>IF(B4="","",COUNTIFS(Attendance!$A:$A,B4,Attendance!$D:$D,"Excused"))</f>
        <v/>
      </c>
      <c r="J4" s="4">
        <f>IF(G4="","",G4+21+7*(I4&gt;=1))</f>
        <v/>
      </c>
      <c r="K4">
        <f>IF(J4="","",J4-TODAY())</f>
        <v/>
      </c>
      <c r="L4" t="inlineStr">
        <is>
          <t>Unpaid</t>
        </is>
      </c>
      <c r="M4">
        <f>IF(B4="","",COUNTIFS(Attendance!$A:$A,B4,Attendance!$D:$D,"Present"))</f>
        <v/>
      </c>
      <c r="N4" s="4">
        <f>IF(J4="","",J4+7)</f>
        <v/>
      </c>
    </row>
    <row r="5">
      <c r="A5" t="inlineStr"/>
      <c r="B5" t="inlineStr"/>
      <c r="C5" s="4" t="inlineStr"/>
      <c r="D5">
        <f>IF(C5="","",DATEDIF(C5,TODAY(),"Y"))</f>
        <v/>
      </c>
      <c r="E5" t="inlineStr"/>
      <c r="F5" t="inlineStr"/>
      <c r="G5" s="4" t="inlineStr"/>
      <c r="H5">
        <f>IF(F5="","",VLOOKUP(F5,Courses!$B:$C,2,FALSE))</f>
        <v/>
      </c>
      <c r="I5">
        <f>IF(B5="","",COUNTIFS(Attendance!$A:$A,B5,Attendance!$D:$D,"Excused"))</f>
        <v/>
      </c>
      <c r="J5" s="4">
        <f>IF(G5="","",G5+21+7*(I5&gt;=1))</f>
        <v/>
      </c>
      <c r="K5">
        <f>IF(J5="","",J5-TODAY())</f>
        <v/>
      </c>
      <c r="M5">
        <f>IF(B5="","",COUNTIFS(Attendance!$A:$A,B5,Attendance!$D:$D,"Present"))</f>
        <v/>
      </c>
      <c r="N5" s="4">
        <f>IF(J5="","",J5+7)</f>
        <v/>
      </c>
    </row>
    <row r="6">
      <c r="A6" t="inlineStr"/>
      <c r="B6" t="inlineStr"/>
      <c r="C6" s="4" t="inlineStr"/>
      <c r="D6">
        <f>IF(C6="","",DATEDIF(C6,TODAY(),"Y"))</f>
        <v/>
      </c>
      <c r="E6" t="inlineStr"/>
      <c r="F6" t="inlineStr"/>
      <c r="G6" s="4" t="inlineStr"/>
      <c r="H6">
        <f>IF(F6="","",VLOOKUP(F6,Courses!$B:$C,2,FALSE))</f>
        <v/>
      </c>
      <c r="I6">
        <f>IF(B6="","",COUNTIFS(Attendance!$A:$A,B6,Attendance!$D:$D,"Excused"))</f>
        <v/>
      </c>
      <c r="J6" s="4">
        <f>IF(G6="","",G6+21+7*(I6&gt;=1))</f>
        <v/>
      </c>
      <c r="K6">
        <f>IF(J6="","",J6-TODAY())</f>
        <v/>
      </c>
      <c r="M6">
        <f>IF(B6="","",COUNTIFS(Attendance!$A:$A,B6,Attendance!$D:$D,"Present"))</f>
        <v/>
      </c>
      <c r="N6" s="4">
        <f>IF(J6="","",J6+7)</f>
        <v/>
      </c>
    </row>
    <row r="7">
      <c r="A7" t="inlineStr"/>
      <c r="B7" t="inlineStr"/>
      <c r="C7" s="4" t="inlineStr"/>
      <c r="D7">
        <f>IF(C7="","",DATEDIF(C7,TODAY(),"Y"))</f>
        <v/>
      </c>
      <c r="E7" t="inlineStr"/>
      <c r="F7" t="inlineStr"/>
      <c r="G7" s="4" t="inlineStr"/>
      <c r="H7">
        <f>IF(F7="","",VLOOKUP(F7,Courses!$B:$C,2,FALSE))</f>
        <v/>
      </c>
      <c r="I7">
        <f>IF(B7="","",COUNTIFS(Attendance!$A:$A,B7,Attendance!$D:$D,"Excused"))</f>
        <v/>
      </c>
      <c r="J7" s="4">
        <f>IF(G7="","",G7+21+7*(I7&gt;=1))</f>
        <v/>
      </c>
      <c r="K7">
        <f>IF(J7="","",J7-TODAY())</f>
        <v/>
      </c>
      <c r="M7">
        <f>IF(B7="","",COUNTIFS(Attendance!$A:$A,B7,Attendance!$D:$D,"Present"))</f>
        <v/>
      </c>
      <c r="N7" s="4">
        <f>IF(J7="","",J7+7)</f>
        <v/>
      </c>
    </row>
    <row r="8">
      <c r="A8" t="inlineStr"/>
      <c r="B8" t="inlineStr"/>
      <c r="C8" s="4" t="inlineStr"/>
      <c r="D8">
        <f>IF(C8="","",DATEDIF(C8,TODAY(),"Y"))</f>
        <v/>
      </c>
      <c r="E8" t="inlineStr"/>
      <c r="F8" t="inlineStr"/>
      <c r="G8" s="4" t="inlineStr"/>
      <c r="H8">
        <f>IF(F8="","",VLOOKUP(F8,Courses!$B:$C,2,FALSE))</f>
        <v/>
      </c>
      <c r="I8">
        <f>IF(B8="","",COUNTIFS(Attendance!$A:$A,B8,Attendance!$D:$D,"Excused"))</f>
        <v/>
      </c>
      <c r="J8" s="4">
        <f>IF(G8="","",G8+21+7*(I8&gt;=1))</f>
        <v/>
      </c>
      <c r="K8">
        <f>IF(J8="","",J8-TODAY())</f>
        <v/>
      </c>
      <c r="M8">
        <f>IF(B8="","",COUNTIFS(Attendance!$A:$A,B8,Attendance!$D:$D,"Present"))</f>
        <v/>
      </c>
      <c r="N8" s="4">
        <f>IF(J8="","",J8+7)</f>
        <v/>
      </c>
    </row>
    <row r="9">
      <c r="A9" t="inlineStr"/>
      <c r="B9" t="inlineStr"/>
      <c r="C9" s="4" t="inlineStr"/>
      <c r="D9">
        <f>IF(C9="","",DATEDIF(C9,TODAY(),"Y"))</f>
        <v/>
      </c>
      <c r="E9" t="inlineStr"/>
      <c r="F9" t="inlineStr"/>
      <c r="G9" s="4" t="inlineStr"/>
      <c r="H9">
        <f>IF(F9="","",VLOOKUP(F9,Courses!$B:$C,2,FALSE))</f>
        <v/>
      </c>
      <c r="I9">
        <f>IF(B9="","",COUNTIFS(Attendance!$A:$A,B9,Attendance!$D:$D,"Excused"))</f>
        <v/>
      </c>
      <c r="J9" s="4">
        <f>IF(G9="","",G9+21+7*(I9&gt;=1))</f>
        <v/>
      </c>
      <c r="K9">
        <f>IF(J9="","",J9-TODAY())</f>
        <v/>
      </c>
      <c r="M9">
        <f>IF(B9="","",COUNTIFS(Attendance!$A:$A,B9,Attendance!$D:$D,"Present"))</f>
        <v/>
      </c>
      <c r="N9" s="4">
        <f>IF(J9="","",J9+7)</f>
        <v/>
      </c>
    </row>
    <row r="10">
      <c r="A10" t="inlineStr"/>
      <c r="B10" t="inlineStr"/>
      <c r="C10" s="4" t="inlineStr"/>
      <c r="D10">
        <f>IF(C10="","",DATEDIF(C10,TODAY(),"Y"))</f>
        <v/>
      </c>
      <c r="E10" t="inlineStr"/>
      <c r="F10" t="inlineStr"/>
      <c r="G10" s="4" t="inlineStr"/>
      <c r="H10">
        <f>IF(F10="","",VLOOKUP(F10,Courses!$B:$C,2,FALSE))</f>
        <v/>
      </c>
      <c r="I10">
        <f>IF(B10="","",COUNTIFS(Attendance!$A:$A,B10,Attendance!$D:$D,"Excused"))</f>
        <v/>
      </c>
      <c r="J10" s="4">
        <f>IF(G10="","",G10+21+7*(I10&gt;=1))</f>
        <v/>
      </c>
      <c r="K10">
        <f>IF(J10="","",J10-TODAY())</f>
        <v/>
      </c>
      <c r="M10">
        <f>IF(B10="","",COUNTIFS(Attendance!$A:$A,B10,Attendance!$D:$D,"Present"))</f>
        <v/>
      </c>
      <c r="N10" s="4">
        <f>IF(J10="","",J10+7)</f>
        <v/>
      </c>
    </row>
    <row r="11">
      <c r="A11" t="inlineStr"/>
      <c r="B11" t="inlineStr"/>
      <c r="C11" s="4" t="inlineStr"/>
      <c r="D11">
        <f>IF(C11="","",DATEDIF(C11,TODAY(),"Y"))</f>
        <v/>
      </c>
      <c r="E11" t="inlineStr"/>
      <c r="F11" t="inlineStr"/>
      <c r="G11" s="4" t="inlineStr"/>
      <c r="H11">
        <f>IF(F11="","",VLOOKUP(F11,Courses!$B:$C,2,FALSE))</f>
        <v/>
      </c>
      <c r="I11">
        <f>IF(B11="","",COUNTIFS(Attendance!$A:$A,B11,Attendance!$D:$D,"Excused"))</f>
        <v/>
      </c>
      <c r="J11" s="4">
        <f>IF(G11="","",G11+21+7*(I11&gt;=1))</f>
        <v/>
      </c>
      <c r="K11">
        <f>IF(J11="","",J11-TODAY())</f>
        <v/>
      </c>
      <c r="M11">
        <f>IF(B11="","",COUNTIFS(Attendance!$A:$A,B11,Attendance!$D:$D,"Present"))</f>
        <v/>
      </c>
      <c r="N11" s="4">
        <f>IF(J11="","",J11+7)</f>
        <v/>
      </c>
    </row>
    <row r="12">
      <c r="A12" t="inlineStr"/>
      <c r="B12" t="inlineStr"/>
      <c r="C12" s="4" t="inlineStr"/>
      <c r="D12">
        <f>IF(C12="","",DATEDIF(C12,TODAY(),"Y"))</f>
        <v/>
      </c>
      <c r="E12" t="inlineStr"/>
      <c r="F12" t="inlineStr"/>
      <c r="G12" s="4" t="inlineStr"/>
      <c r="H12">
        <f>IF(F12="","",VLOOKUP(F12,Courses!$B:$C,2,FALSE))</f>
        <v/>
      </c>
      <c r="I12">
        <f>IF(B12="","",COUNTIFS(Attendance!$A:$A,B12,Attendance!$D:$D,"Excused"))</f>
        <v/>
      </c>
      <c r="J12" s="4">
        <f>IF(G12="","",G12+21+7*(I12&gt;=1))</f>
        <v/>
      </c>
      <c r="K12">
        <f>IF(J12="","",J12-TODAY())</f>
        <v/>
      </c>
      <c r="M12">
        <f>IF(B12="","",COUNTIFS(Attendance!$A:$A,B12,Attendance!$D:$D,"Present"))</f>
        <v/>
      </c>
      <c r="N12" s="4">
        <f>IF(J12="","",J12+7)</f>
        <v/>
      </c>
    </row>
    <row r="13">
      <c r="A13" t="inlineStr"/>
      <c r="B13" t="inlineStr"/>
      <c r="C13" s="4" t="inlineStr"/>
      <c r="D13">
        <f>IF(C13="","",DATEDIF(C13,TODAY(),"Y"))</f>
        <v/>
      </c>
      <c r="E13" t="inlineStr"/>
      <c r="F13" t="inlineStr"/>
      <c r="G13" s="4" t="inlineStr"/>
      <c r="H13">
        <f>IF(F13="","",VLOOKUP(F13,Courses!$B:$C,2,FALSE))</f>
        <v/>
      </c>
      <c r="I13">
        <f>IF(B13="","",COUNTIFS(Attendance!$A:$A,B13,Attendance!$D:$D,"Excused"))</f>
        <v/>
      </c>
      <c r="J13" s="4">
        <f>IF(G13="","",G13+21+7*(I13&gt;=1))</f>
        <v/>
      </c>
      <c r="K13">
        <f>IF(J13="","",J13-TODAY())</f>
        <v/>
      </c>
      <c r="M13">
        <f>IF(B13="","",COUNTIFS(Attendance!$A:$A,B13,Attendance!$D:$D,"Present"))</f>
        <v/>
      </c>
      <c r="N13" s="4">
        <f>IF(J13="","",J13+7)</f>
        <v/>
      </c>
    </row>
    <row r="14">
      <c r="A14" t="inlineStr"/>
      <c r="B14" t="inlineStr"/>
      <c r="C14" s="4" t="inlineStr"/>
      <c r="D14">
        <f>IF(C14="","",DATEDIF(C14,TODAY(),"Y"))</f>
        <v/>
      </c>
      <c r="E14" t="inlineStr"/>
      <c r="F14" t="inlineStr"/>
      <c r="G14" s="4" t="inlineStr"/>
      <c r="H14">
        <f>IF(F14="","",VLOOKUP(F14,Courses!$B:$C,2,FALSE))</f>
        <v/>
      </c>
      <c r="I14">
        <f>IF(B14="","",COUNTIFS(Attendance!$A:$A,B14,Attendance!$D:$D,"Excused"))</f>
        <v/>
      </c>
      <c r="J14" s="4">
        <f>IF(G14="","",G14+21+7*(I14&gt;=1))</f>
        <v/>
      </c>
      <c r="K14">
        <f>IF(J14="","",J14-TODAY())</f>
        <v/>
      </c>
      <c r="M14">
        <f>IF(B14="","",COUNTIFS(Attendance!$A:$A,B14,Attendance!$D:$D,"Present"))</f>
        <v/>
      </c>
      <c r="N14" s="4">
        <f>IF(J14="","",J14+7)</f>
        <v/>
      </c>
    </row>
    <row r="15">
      <c r="A15" t="inlineStr"/>
      <c r="B15" t="inlineStr"/>
      <c r="C15" s="4" t="inlineStr"/>
      <c r="D15">
        <f>IF(C15="","",DATEDIF(C15,TODAY(),"Y"))</f>
        <v/>
      </c>
      <c r="E15" t="inlineStr"/>
      <c r="F15" t="inlineStr"/>
      <c r="G15" s="4" t="inlineStr"/>
      <c r="H15">
        <f>IF(F15="","",VLOOKUP(F15,Courses!$B:$C,2,FALSE))</f>
        <v/>
      </c>
      <c r="I15">
        <f>IF(B15="","",COUNTIFS(Attendance!$A:$A,B15,Attendance!$D:$D,"Excused"))</f>
        <v/>
      </c>
      <c r="J15" s="4">
        <f>IF(G15="","",G15+21+7*(I15&gt;=1))</f>
        <v/>
      </c>
      <c r="K15">
        <f>IF(J15="","",J15-TODAY())</f>
        <v/>
      </c>
      <c r="M15">
        <f>IF(B15="","",COUNTIFS(Attendance!$A:$A,B15,Attendance!$D:$D,"Present"))</f>
        <v/>
      </c>
      <c r="N15" s="4">
        <f>IF(J15="","",J15+7)</f>
        <v/>
      </c>
    </row>
    <row r="16">
      <c r="A16" t="inlineStr"/>
      <c r="B16" t="inlineStr"/>
      <c r="C16" s="4" t="inlineStr"/>
      <c r="D16">
        <f>IF(C16="","",DATEDIF(C16,TODAY(),"Y"))</f>
        <v/>
      </c>
      <c r="E16" t="inlineStr"/>
      <c r="F16" t="inlineStr"/>
      <c r="G16" s="4" t="inlineStr"/>
      <c r="H16">
        <f>IF(F16="","",VLOOKUP(F16,Courses!$B:$C,2,FALSE))</f>
        <v/>
      </c>
      <c r="I16">
        <f>IF(B16="","",COUNTIFS(Attendance!$A:$A,B16,Attendance!$D:$D,"Excused"))</f>
        <v/>
      </c>
      <c r="J16" s="4">
        <f>IF(G16="","",G16+21+7*(I16&gt;=1))</f>
        <v/>
      </c>
      <c r="K16">
        <f>IF(J16="","",J16-TODAY())</f>
        <v/>
      </c>
      <c r="M16">
        <f>IF(B16="","",COUNTIFS(Attendance!$A:$A,B16,Attendance!$D:$D,"Present"))</f>
        <v/>
      </c>
      <c r="N16" s="4">
        <f>IF(J16="","",J16+7)</f>
        <v/>
      </c>
    </row>
    <row r="17">
      <c r="A17" t="inlineStr"/>
      <c r="B17" t="inlineStr"/>
      <c r="C17" s="4" t="inlineStr"/>
      <c r="D17">
        <f>IF(C17="","",DATEDIF(C17,TODAY(),"Y"))</f>
        <v/>
      </c>
      <c r="E17" t="inlineStr"/>
      <c r="F17" t="inlineStr"/>
      <c r="G17" s="4" t="inlineStr"/>
      <c r="H17">
        <f>IF(F17="","",VLOOKUP(F17,Courses!$B:$C,2,FALSE))</f>
        <v/>
      </c>
      <c r="I17">
        <f>IF(B17="","",COUNTIFS(Attendance!$A:$A,B17,Attendance!$D:$D,"Excused"))</f>
        <v/>
      </c>
      <c r="J17" s="4">
        <f>IF(G17="","",G17+21+7*(I17&gt;=1))</f>
        <v/>
      </c>
      <c r="K17">
        <f>IF(J17="","",J17-TODAY())</f>
        <v/>
      </c>
      <c r="M17">
        <f>IF(B17="","",COUNTIFS(Attendance!$A:$A,B17,Attendance!$D:$D,"Present"))</f>
        <v/>
      </c>
      <c r="N17" s="4">
        <f>IF(J17="","",J17+7)</f>
        <v/>
      </c>
    </row>
    <row r="18">
      <c r="A18" t="inlineStr"/>
      <c r="B18" t="inlineStr"/>
      <c r="C18" s="4" t="inlineStr"/>
      <c r="D18">
        <f>IF(C18="","",DATEDIF(C18,TODAY(),"Y"))</f>
        <v/>
      </c>
      <c r="E18" t="inlineStr"/>
      <c r="F18" t="inlineStr"/>
      <c r="G18" s="4" t="inlineStr"/>
      <c r="H18">
        <f>IF(F18="","",VLOOKUP(F18,Courses!$B:$C,2,FALSE))</f>
        <v/>
      </c>
      <c r="I18">
        <f>IF(B18="","",COUNTIFS(Attendance!$A:$A,B18,Attendance!$D:$D,"Excused"))</f>
        <v/>
      </c>
      <c r="J18" s="4">
        <f>IF(G18="","",G18+21+7*(I18&gt;=1))</f>
        <v/>
      </c>
      <c r="K18">
        <f>IF(J18="","",J18-TODAY())</f>
        <v/>
      </c>
      <c r="M18">
        <f>IF(B18="","",COUNTIFS(Attendance!$A:$A,B18,Attendance!$D:$D,"Present"))</f>
        <v/>
      </c>
      <c r="N18" s="4">
        <f>IF(J18="","",J18+7)</f>
        <v/>
      </c>
    </row>
    <row r="19">
      <c r="A19" t="inlineStr"/>
      <c r="B19" t="inlineStr"/>
      <c r="C19" s="4" t="inlineStr"/>
      <c r="D19">
        <f>IF(C19="","",DATEDIF(C19,TODAY(),"Y"))</f>
        <v/>
      </c>
      <c r="E19" t="inlineStr"/>
      <c r="F19" t="inlineStr"/>
      <c r="G19" s="4" t="inlineStr"/>
      <c r="H19">
        <f>IF(F19="","",VLOOKUP(F19,Courses!$B:$C,2,FALSE))</f>
        <v/>
      </c>
      <c r="I19">
        <f>IF(B19="","",COUNTIFS(Attendance!$A:$A,B19,Attendance!$D:$D,"Excused"))</f>
        <v/>
      </c>
      <c r="J19" s="4">
        <f>IF(G19="","",G19+21+7*(I19&gt;=1))</f>
        <v/>
      </c>
      <c r="K19">
        <f>IF(J19="","",J19-TODAY())</f>
        <v/>
      </c>
      <c r="M19">
        <f>IF(B19="","",COUNTIFS(Attendance!$A:$A,B19,Attendance!$D:$D,"Present"))</f>
        <v/>
      </c>
      <c r="N19" s="4">
        <f>IF(J19="","",J19+7)</f>
        <v/>
      </c>
    </row>
    <row r="20">
      <c r="A20" t="inlineStr"/>
      <c r="B20" t="inlineStr"/>
      <c r="C20" s="4" t="inlineStr"/>
      <c r="D20">
        <f>IF(C20="","",DATEDIF(C20,TODAY(),"Y"))</f>
        <v/>
      </c>
      <c r="E20" t="inlineStr"/>
      <c r="F20" t="inlineStr"/>
      <c r="G20" s="4" t="inlineStr"/>
      <c r="H20">
        <f>IF(F20="","",VLOOKUP(F20,Courses!$B:$C,2,FALSE))</f>
        <v/>
      </c>
      <c r="I20">
        <f>IF(B20="","",COUNTIFS(Attendance!$A:$A,B20,Attendance!$D:$D,"Excused"))</f>
        <v/>
      </c>
      <c r="J20" s="4">
        <f>IF(G20="","",G20+21+7*(I20&gt;=1))</f>
        <v/>
      </c>
      <c r="K20">
        <f>IF(J20="","",J20-TODAY())</f>
        <v/>
      </c>
      <c r="M20">
        <f>IF(B20="","",COUNTIFS(Attendance!$A:$A,B20,Attendance!$D:$D,"Present"))</f>
        <v/>
      </c>
      <c r="N20" s="4">
        <f>IF(J20="","",J20+7)</f>
        <v/>
      </c>
    </row>
    <row r="21">
      <c r="A21" t="inlineStr"/>
      <c r="B21" t="inlineStr"/>
      <c r="C21" s="4" t="inlineStr"/>
      <c r="D21">
        <f>IF(C21="","",DATEDIF(C21,TODAY(),"Y"))</f>
        <v/>
      </c>
      <c r="E21" t="inlineStr"/>
      <c r="F21" t="inlineStr"/>
      <c r="G21" s="4" t="inlineStr"/>
      <c r="H21">
        <f>IF(F21="","",VLOOKUP(F21,Courses!$B:$C,2,FALSE))</f>
        <v/>
      </c>
      <c r="I21">
        <f>IF(B21="","",COUNTIFS(Attendance!$A:$A,B21,Attendance!$D:$D,"Excused"))</f>
        <v/>
      </c>
      <c r="J21" s="4">
        <f>IF(G21="","",G21+21+7*(I21&gt;=1))</f>
        <v/>
      </c>
      <c r="K21">
        <f>IF(J21="","",J21-TODAY())</f>
        <v/>
      </c>
      <c r="M21">
        <f>IF(B21="","",COUNTIFS(Attendance!$A:$A,B21,Attendance!$D:$D,"Present"))</f>
        <v/>
      </c>
      <c r="N21" s="4">
        <f>IF(J21="","",J21+7)</f>
        <v/>
      </c>
    </row>
  </sheetData>
  <autoFilter ref="A1:N21"/>
  <conditionalFormatting sqref="L2:L21">
    <cfRule type="expression" priority="1" dxfId="0">
      <formula>$L2="Unpaid"</formula>
    </cfRule>
    <cfRule type="expression" priority="2" dxfId="1">
      <formula>$L2="Paid"</formula>
    </cfRule>
  </conditionalFormatting>
  <conditionalFormatting sqref="K2:K21">
    <cfRule type="cellIs" priority="3" operator="lessThan" dxfId="0">
      <formula>0</formula>
    </cfRule>
    <cfRule type="cellIs" priority="4" operator="between" dxfId="2">
      <formula>0</formula>
      <formula>7</formula>
    </cfRule>
  </conditionalFormatting>
  <conditionalFormatting sqref="I2:I21">
    <cfRule type="cellIs" priority="5" operator="greaterThan" dxfId="0">
      <formula>1</formula>
    </cfRule>
  </conditionalFormatting>
  <dataValidations count="2">
    <dataValidation sqref="F2:F21" showDropDown="0" showInputMessage="0" showErrorMessage="0" allowBlank="1" type="list">
      <formula1>Courses!$B$2:$B$50</formula1>
    </dataValidation>
    <dataValidation sqref="L2:L21" showDropDown="0" showInputMessage="0" showErrorMessage="0" allowBlank="1" type="list">
      <formula1>"Paid,Unpaid"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  <col width="12" customWidth="1" min="5" max="5"/>
  </cols>
  <sheetData>
    <row r="1">
      <c r="A1" s="2" t="inlineStr">
        <is>
          <t>Course_Name</t>
        </is>
      </c>
      <c r="B1" s="2" t="inlineStr">
        <is>
          <t>Session_#</t>
        </is>
      </c>
      <c r="C1" s="2" t="inlineStr">
        <is>
          <t>Session_Date_auto</t>
        </is>
      </c>
      <c r="D1" s="2" t="inlineStr">
        <is>
          <t>Month_auto</t>
        </is>
      </c>
      <c r="E1" s="2" t="inlineStr">
        <is>
          <t>Hours_auto</t>
        </is>
      </c>
    </row>
    <row r="2">
      <c r="A2" t="inlineStr">
        <is>
          <t>English A1</t>
        </is>
      </c>
      <c r="B2" t="n">
        <v>1</v>
      </c>
      <c r="C2" s="4">
        <f>VLOOKUP(A2,Courses!$B:$D,3,FALSE)+(B2-1)*7</f>
        <v/>
      </c>
      <c r="D2">
        <f>IF(C2="","",TEXT(C2,"yyyy-mm"))</f>
        <v/>
      </c>
      <c r="E2">
        <f>VLOOKUP(A2,Courses!$B:$C,2,FALSE)</f>
        <v/>
      </c>
    </row>
    <row r="3">
      <c r="A3" t="inlineStr">
        <is>
          <t>English A1</t>
        </is>
      </c>
      <c r="B3" t="n">
        <v>2</v>
      </c>
      <c r="C3" s="4">
        <f>VLOOKUP(A3,Courses!$B:$D,3,FALSE)+(B3-1)*7</f>
        <v/>
      </c>
      <c r="D3">
        <f>IF(C3="","",TEXT(C3,"yyyy-mm"))</f>
        <v/>
      </c>
      <c r="E3">
        <f>VLOOKUP(A3,Courses!$B:$C,2,FALSE)</f>
        <v/>
      </c>
    </row>
    <row r="4">
      <c r="A4" t="inlineStr">
        <is>
          <t>English A1</t>
        </is>
      </c>
      <c r="B4" t="n">
        <v>3</v>
      </c>
      <c r="C4" s="4">
        <f>VLOOKUP(A4,Courses!$B:$D,3,FALSE)+(B4-1)*7</f>
        <v/>
      </c>
      <c r="D4">
        <f>IF(C4="","",TEXT(C4,"yyyy-mm"))</f>
        <v/>
      </c>
      <c r="E4">
        <f>VLOOKUP(A4,Courses!$B:$C,2,FALSE)</f>
        <v/>
      </c>
    </row>
    <row r="5">
      <c r="A5" t="inlineStr">
        <is>
          <t>English A1</t>
        </is>
      </c>
      <c r="B5" t="n">
        <v>4</v>
      </c>
      <c r="C5" s="4">
        <f>VLOOKUP(A5,Courses!$B:$D,3,FALSE)+(B5-1)*7</f>
        <v/>
      </c>
      <c r="D5">
        <f>IF(C5="","",TEXT(C5,"yyyy-mm"))</f>
        <v/>
      </c>
      <c r="E5">
        <f>VLOOKUP(A5,Courses!$B:$C,2,FALSE)</f>
        <v/>
      </c>
    </row>
    <row r="6">
      <c r="A6" t="inlineStr">
        <is>
          <t>English A1</t>
        </is>
      </c>
      <c r="B6" t="n">
        <v>5</v>
      </c>
      <c r="C6" s="4">
        <f>VLOOKUP(A6,Courses!$B:$D,3,FALSE)+(B6-1)*7</f>
        <v/>
      </c>
      <c r="D6">
        <f>IF(C6="","",TEXT(C6,"yyyy-mm"))</f>
        <v/>
      </c>
      <c r="E6">
        <f>VLOOKUP(A6,Courses!$B:$C,2,FALSE)</f>
        <v/>
      </c>
    </row>
    <row r="7">
      <c r="A7" t="inlineStr">
        <is>
          <t>English A1</t>
        </is>
      </c>
      <c r="B7" t="n">
        <v>6</v>
      </c>
      <c r="C7" s="4">
        <f>VLOOKUP(A7,Courses!$B:$D,3,FALSE)+(B7-1)*7</f>
        <v/>
      </c>
      <c r="D7">
        <f>IF(C7="","",TEXT(C7,"yyyy-mm"))</f>
        <v/>
      </c>
      <c r="E7">
        <f>VLOOKUP(A7,Courses!$B:$C,2,FALSE)</f>
        <v/>
      </c>
    </row>
    <row r="8">
      <c r="A8" t="inlineStr">
        <is>
          <t>English A1</t>
        </is>
      </c>
      <c r="B8" t="n">
        <v>7</v>
      </c>
      <c r="C8" s="4">
        <f>VLOOKUP(A8,Courses!$B:$D,3,FALSE)+(B8-1)*7</f>
        <v/>
      </c>
      <c r="D8">
        <f>IF(C8="","",TEXT(C8,"yyyy-mm"))</f>
        <v/>
      </c>
      <c r="E8">
        <f>VLOOKUP(A8,Courses!$B:$C,2,FALSE)</f>
        <v/>
      </c>
    </row>
    <row r="9">
      <c r="A9" t="inlineStr">
        <is>
          <t>English A1</t>
        </is>
      </c>
      <c r="B9" t="n">
        <v>8</v>
      </c>
      <c r="C9" s="4">
        <f>VLOOKUP(A9,Courses!$B:$D,3,FALSE)+(B9-1)*7</f>
        <v/>
      </c>
      <c r="D9">
        <f>IF(C9="","",TEXT(C9,"yyyy-mm"))</f>
        <v/>
      </c>
      <c r="E9">
        <f>VLOOKUP(A9,Courses!$B:$C,2,FALSE)</f>
        <v/>
      </c>
    </row>
    <row r="10">
      <c r="A10" t="inlineStr">
        <is>
          <t>English A1</t>
        </is>
      </c>
      <c r="B10" t="n">
        <v>9</v>
      </c>
      <c r="C10" s="4">
        <f>VLOOKUP(A10,Courses!$B:$D,3,FALSE)+(B10-1)*7</f>
        <v/>
      </c>
      <c r="D10">
        <f>IF(C10="","",TEXT(C10,"yyyy-mm"))</f>
        <v/>
      </c>
      <c r="E10">
        <f>VLOOKUP(A10,Courses!$B:$C,2,FALSE)</f>
        <v/>
      </c>
    </row>
    <row r="11">
      <c r="A11" t="inlineStr">
        <is>
          <t>English A1</t>
        </is>
      </c>
      <c r="B11" t="n">
        <v>10</v>
      </c>
      <c r="C11" s="4">
        <f>VLOOKUP(A11,Courses!$B:$D,3,FALSE)+(B11-1)*7</f>
        <v/>
      </c>
      <c r="D11">
        <f>IF(C11="","",TEXT(C11,"yyyy-mm"))</f>
        <v/>
      </c>
      <c r="E11">
        <f>VLOOKUP(A11,Courses!$B:$C,2,FALSE)</f>
        <v/>
      </c>
    </row>
    <row r="12">
      <c r="A12" t="inlineStr">
        <is>
          <t>English A1</t>
        </is>
      </c>
      <c r="B12" t="n">
        <v>11</v>
      </c>
      <c r="C12" s="4">
        <f>VLOOKUP(A12,Courses!$B:$D,3,FALSE)+(B12-1)*7</f>
        <v/>
      </c>
      <c r="D12">
        <f>IF(C12="","",TEXT(C12,"yyyy-mm"))</f>
        <v/>
      </c>
      <c r="E12">
        <f>VLOOKUP(A12,Courses!$B:$C,2,FALSE)</f>
        <v/>
      </c>
    </row>
    <row r="13">
      <c r="A13" t="inlineStr">
        <is>
          <t>English A1</t>
        </is>
      </c>
      <c r="B13" t="n">
        <v>12</v>
      </c>
      <c r="C13" s="4">
        <f>VLOOKUP(A13,Courses!$B:$D,3,FALSE)+(B13-1)*7</f>
        <v/>
      </c>
      <c r="D13">
        <f>IF(C13="","",TEXT(C13,"yyyy-mm"))</f>
        <v/>
      </c>
      <c r="E13">
        <f>VLOOKUP(A13,Courses!$B:$C,2,FALSE)</f>
        <v/>
      </c>
    </row>
    <row r="14">
      <c r="A14" t="inlineStr">
        <is>
          <t>English A1</t>
        </is>
      </c>
      <c r="B14" t="n">
        <v>13</v>
      </c>
      <c r="C14" s="4">
        <f>VLOOKUP(A14,Courses!$B:$D,3,FALSE)+(B14-1)*7</f>
        <v/>
      </c>
      <c r="D14">
        <f>IF(C14="","",TEXT(C14,"yyyy-mm"))</f>
        <v/>
      </c>
      <c r="E14">
        <f>VLOOKUP(A14,Courses!$B:$C,2,FALSE)</f>
        <v/>
      </c>
    </row>
    <row r="15">
      <c r="A15" t="inlineStr">
        <is>
          <t>English A1</t>
        </is>
      </c>
      <c r="B15" t="n">
        <v>14</v>
      </c>
      <c r="C15" s="4">
        <f>VLOOKUP(A15,Courses!$B:$D,3,FALSE)+(B15-1)*7</f>
        <v/>
      </c>
      <c r="D15">
        <f>IF(C15="","",TEXT(C15,"yyyy-mm"))</f>
        <v/>
      </c>
      <c r="E15">
        <f>VLOOKUP(A15,Courses!$B:$C,2,FALSE)</f>
        <v/>
      </c>
    </row>
    <row r="16">
      <c r="A16" t="inlineStr">
        <is>
          <t>English A1</t>
        </is>
      </c>
      <c r="B16" t="n">
        <v>15</v>
      </c>
      <c r="C16" s="4">
        <f>VLOOKUP(A16,Courses!$B:$D,3,FALSE)+(B16-1)*7</f>
        <v/>
      </c>
      <c r="D16">
        <f>IF(C16="","",TEXT(C16,"yyyy-mm"))</f>
        <v/>
      </c>
      <c r="E16">
        <f>VLOOKUP(A16,Courses!$B:$C,2,FALSE)</f>
        <v/>
      </c>
    </row>
    <row r="17">
      <c r="A17" t="inlineStr">
        <is>
          <t>English A1</t>
        </is>
      </c>
      <c r="B17" t="n">
        <v>16</v>
      </c>
      <c r="C17" s="4">
        <f>VLOOKUP(A17,Courses!$B:$D,3,FALSE)+(B17-1)*7</f>
        <v/>
      </c>
      <c r="D17">
        <f>IF(C17="","",TEXT(C17,"yyyy-mm"))</f>
        <v/>
      </c>
      <c r="E17">
        <f>VLOOKUP(A17,Courses!$B:$C,2,FALSE)</f>
        <v/>
      </c>
    </row>
    <row r="18">
      <c r="A18" t="inlineStr">
        <is>
          <t>English A1</t>
        </is>
      </c>
      <c r="B18" t="n">
        <v>17</v>
      </c>
      <c r="C18" s="4">
        <f>VLOOKUP(A18,Courses!$B:$D,3,FALSE)+(B18-1)*7</f>
        <v/>
      </c>
      <c r="D18">
        <f>IF(C18="","",TEXT(C18,"yyyy-mm"))</f>
        <v/>
      </c>
      <c r="E18">
        <f>VLOOKUP(A18,Courses!$B:$C,2,FALSE)</f>
        <v/>
      </c>
    </row>
    <row r="19">
      <c r="A19" t="inlineStr">
        <is>
          <t>English A1</t>
        </is>
      </c>
      <c r="B19" t="n">
        <v>18</v>
      </c>
      <c r="C19" s="4">
        <f>VLOOKUP(A19,Courses!$B:$D,3,FALSE)+(B19-1)*7</f>
        <v/>
      </c>
      <c r="D19">
        <f>IF(C19="","",TEXT(C19,"yyyy-mm"))</f>
        <v/>
      </c>
      <c r="E19">
        <f>VLOOKUP(A19,Courses!$B:$C,2,FALSE)</f>
        <v/>
      </c>
    </row>
    <row r="20">
      <c r="A20" t="inlineStr">
        <is>
          <t>English A1</t>
        </is>
      </c>
      <c r="B20" t="n">
        <v>19</v>
      </c>
      <c r="C20" s="4">
        <f>VLOOKUP(A20,Courses!$B:$D,3,FALSE)+(B20-1)*7</f>
        <v/>
      </c>
      <c r="D20">
        <f>IF(C20="","",TEXT(C20,"yyyy-mm"))</f>
        <v/>
      </c>
      <c r="E20">
        <f>VLOOKUP(A20,Courses!$B:$C,2,FALSE)</f>
        <v/>
      </c>
    </row>
    <row r="21">
      <c r="A21" t="inlineStr">
        <is>
          <t>English A1</t>
        </is>
      </c>
      <c r="B21" t="n">
        <v>20</v>
      </c>
      <c r="C21" s="4">
        <f>VLOOKUP(A21,Courses!$B:$D,3,FALSE)+(B21-1)*7</f>
        <v/>
      </c>
      <c r="D21">
        <f>IF(C21="","",TEXT(C21,"yyyy-mm"))</f>
        <v/>
      </c>
      <c r="E21">
        <f>VLOOKUP(A21,Courses!$B:$C,2,FALSE)</f>
        <v/>
      </c>
    </row>
    <row r="22">
      <c r="A22" t="inlineStr">
        <is>
          <t>English A1</t>
        </is>
      </c>
      <c r="B22" t="n">
        <v>21</v>
      </c>
      <c r="C22" s="4">
        <f>VLOOKUP(A22,Courses!$B:$D,3,FALSE)+(B22-1)*7</f>
        <v/>
      </c>
      <c r="D22">
        <f>IF(C22="","",TEXT(C22,"yyyy-mm"))</f>
        <v/>
      </c>
      <c r="E22">
        <f>VLOOKUP(A22,Courses!$B:$C,2,FALSE)</f>
        <v/>
      </c>
    </row>
    <row r="23">
      <c r="A23" t="inlineStr">
        <is>
          <t>English A1</t>
        </is>
      </c>
      <c r="B23" t="n">
        <v>22</v>
      </c>
      <c r="C23" s="4">
        <f>VLOOKUP(A23,Courses!$B:$D,3,FALSE)+(B23-1)*7</f>
        <v/>
      </c>
      <c r="D23">
        <f>IF(C23="","",TEXT(C23,"yyyy-mm"))</f>
        <v/>
      </c>
      <c r="E23">
        <f>VLOOKUP(A23,Courses!$B:$C,2,FALSE)</f>
        <v/>
      </c>
    </row>
    <row r="24">
      <c r="A24" t="inlineStr">
        <is>
          <t>English A1</t>
        </is>
      </c>
      <c r="B24" t="n">
        <v>23</v>
      </c>
      <c r="C24" s="4">
        <f>VLOOKUP(A24,Courses!$B:$D,3,FALSE)+(B24-1)*7</f>
        <v/>
      </c>
      <c r="D24">
        <f>IF(C24="","",TEXT(C24,"yyyy-mm"))</f>
        <v/>
      </c>
      <c r="E24">
        <f>VLOOKUP(A24,Courses!$B:$C,2,FALSE)</f>
        <v/>
      </c>
    </row>
    <row r="25">
      <c r="A25" t="inlineStr">
        <is>
          <t>English A1</t>
        </is>
      </c>
      <c r="B25" t="n">
        <v>24</v>
      </c>
      <c r="C25" s="4">
        <f>VLOOKUP(A25,Courses!$B:$D,3,FALSE)+(B25-1)*7</f>
        <v/>
      </c>
      <c r="D25">
        <f>IF(C25="","",TEXT(C25,"yyyy-mm"))</f>
        <v/>
      </c>
      <c r="E25">
        <f>VLOOKUP(A25,Courses!$B:$C,2,FALSE)</f>
        <v/>
      </c>
    </row>
    <row r="26">
      <c r="A26" t="inlineStr">
        <is>
          <t>English A1</t>
        </is>
      </c>
      <c r="B26" t="n">
        <v>25</v>
      </c>
      <c r="C26" s="4">
        <f>VLOOKUP(A26,Courses!$B:$D,3,FALSE)+(B26-1)*7</f>
        <v/>
      </c>
      <c r="D26">
        <f>IF(C26="","",TEXT(C26,"yyyy-mm"))</f>
        <v/>
      </c>
      <c r="E26">
        <f>VLOOKUP(A26,Courses!$B:$C,2,FALSE)</f>
        <v/>
      </c>
    </row>
    <row r="27">
      <c r="A27" t="inlineStr">
        <is>
          <t>English A1</t>
        </is>
      </c>
      <c r="B27" t="n">
        <v>26</v>
      </c>
      <c r="C27" s="4">
        <f>VLOOKUP(A27,Courses!$B:$D,3,FALSE)+(B27-1)*7</f>
        <v/>
      </c>
      <c r="D27">
        <f>IF(C27="","",TEXT(C27,"yyyy-mm"))</f>
        <v/>
      </c>
      <c r="E27">
        <f>VLOOKUP(A27,Courses!$B:$C,2,FALSE)</f>
        <v/>
      </c>
    </row>
    <row r="28">
      <c r="A28" t="inlineStr">
        <is>
          <t>English A1</t>
        </is>
      </c>
      <c r="B28" t="n">
        <v>27</v>
      </c>
      <c r="C28" s="4">
        <f>VLOOKUP(A28,Courses!$B:$D,3,FALSE)+(B28-1)*7</f>
        <v/>
      </c>
      <c r="D28">
        <f>IF(C28="","",TEXT(C28,"yyyy-mm"))</f>
        <v/>
      </c>
      <c r="E28">
        <f>VLOOKUP(A28,Courses!$B:$C,2,FALSE)</f>
        <v/>
      </c>
    </row>
    <row r="29">
      <c r="A29" t="inlineStr">
        <is>
          <t>English A1</t>
        </is>
      </c>
      <c r="B29" t="n">
        <v>28</v>
      </c>
      <c r="C29" s="4">
        <f>VLOOKUP(A29,Courses!$B:$D,3,FALSE)+(B29-1)*7</f>
        <v/>
      </c>
      <c r="D29">
        <f>IF(C29="","",TEXT(C29,"yyyy-mm"))</f>
        <v/>
      </c>
      <c r="E29">
        <f>VLOOKUP(A29,Courses!$B:$C,2,FALSE)</f>
        <v/>
      </c>
    </row>
    <row r="30">
      <c r="A30" t="inlineStr">
        <is>
          <t>English A1</t>
        </is>
      </c>
      <c r="B30" t="n">
        <v>29</v>
      </c>
      <c r="C30" s="4">
        <f>VLOOKUP(A30,Courses!$B:$D,3,FALSE)+(B30-1)*7</f>
        <v/>
      </c>
      <c r="D30">
        <f>IF(C30="","",TEXT(C30,"yyyy-mm"))</f>
        <v/>
      </c>
      <c r="E30">
        <f>VLOOKUP(A30,Courses!$B:$C,2,FALSE)</f>
        <v/>
      </c>
    </row>
    <row r="31">
      <c r="A31" t="inlineStr">
        <is>
          <t>English A1</t>
        </is>
      </c>
      <c r="B31" t="n">
        <v>30</v>
      </c>
      <c r="C31" s="4">
        <f>VLOOKUP(A31,Courses!$B:$D,3,FALSE)+(B31-1)*7</f>
        <v/>
      </c>
      <c r="D31">
        <f>IF(C31="","",TEXT(C31,"yyyy-mm"))</f>
        <v/>
      </c>
      <c r="E31">
        <f>VLOOKUP(A31,Courses!$B:$C,2,FALSE)</f>
        <v/>
      </c>
    </row>
    <row r="32">
      <c r="A32" t="inlineStr">
        <is>
          <t>Math Kids</t>
        </is>
      </c>
      <c r="B32" t="n">
        <v>1</v>
      </c>
      <c r="C32" s="4">
        <f>VLOOKUP(A32,Courses!$B:$D,3,FALSE)+(B32-1)*7</f>
        <v/>
      </c>
      <c r="D32">
        <f>IF(C32="","",TEXT(C32,"yyyy-mm"))</f>
        <v/>
      </c>
      <c r="E32">
        <f>VLOOKUP(A32,Courses!$B:$C,2,FALSE)</f>
        <v/>
      </c>
    </row>
    <row r="33">
      <c r="A33" t="inlineStr">
        <is>
          <t>Math Kids</t>
        </is>
      </c>
      <c r="B33" t="n">
        <v>2</v>
      </c>
      <c r="C33" s="4">
        <f>VLOOKUP(A33,Courses!$B:$D,3,FALSE)+(B33-1)*7</f>
        <v/>
      </c>
      <c r="D33">
        <f>IF(C33="","",TEXT(C33,"yyyy-mm"))</f>
        <v/>
      </c>
      <c r="E33">
        <f>VLOOKUP(A33,Courses!$B:$C,2,FALSE)</f>
        <v/>
      </c>
    </row>
    <row r="34">
      <c r="A34" t="inlineStr">
        <is>
          <t>Math Kids</t>
        </is>
      </c>
      <c r="B34" t="n">
        <v>3</v>
      </c>
      <c r="C34" s="4">
        <f>VLOOKUP(A34,Courses!$B:$D,3,FALSE)+(B34-1)*7</f>
        <v/>
      </c>
      <c r="D34">
        <f>IF(C34="","",TEXT(C34,"yyyy-mm"))</f>
        <v/>
      </c>
      <c r="E34">
        <f>VLOOKUP(A34,Courses!$B:$C,2,FALSE)</f>
        <v/>
      </c>
    </row>
    <row r="35">
      <c r="A35" t="inlineStr">
        <is>
          <t>Math Kids</t>
        </is>
      </c>
      <c r="B35" t="n">
        <v>4</v>
      </c>
      <c r="C35" s="4">
        <f>VLOOKUP(A35,Courses!$B:$D,3,FALSE)+(B35-1)*7</f>
        <v/>
      </c>
      <c r="D35">
        <f>IF(C35="","",TEXT(C35,"yyyy-mm"))</f>
        <v/>
      </c>
      <c r="E35">
        <f>VLOOKUP(A35,Courses!$B:$C,2,FALSE)</f>
        <v/>
      </c>
    </row>
    <row r="36">
      <c r="A36" t="inlineStr">
        <is>
          <t>Math Kids</t>
        </is>
      </c>
      <c r="B36" t="n">
        <v>5</v>
      </c>
      <c r="C36" s="4">
        <f>VLOOKUP(A36,Courses!$B:$D,3,FALSE)+(B36-1)*7</f>
        <v/>
      </c>
      <c r="D36">
        <f>IF(C36="","",TEXT(C36,"yyyy-mm"))</f>
        <v/>
      </c>
      <c r="E36">
        <f>VLOOKUP(A36,Courses!$B:$C,2,FALSE)</f>
        <v/>
      </c>
    </row>
    <row r="37">
      <c r="A37" t="inlineStr">
        <is>
          <t>Math Kids</t>
        </is>
      </c>
      <c r="B37" t="n">
        <v>6</v>
      </c>
      <c r="C37" s="4">
        <f>VLOOKUP(A37,Courses!$B:$D,3,FALSE)+(B37-1)*7</f>
        <v/>
      </c>
      <c r="D37">
        <f>IF(C37="","",TEXT(C37,"yyyy-mm"))</f>
        <v/>
      </c>
      <c r="E37">
        <f>VLOOKUP(A37,Courses!$B:$C,2,FALSE)</f>
        <v/>
      </c>
    </row>
    <row r="38">
      <c r="A38" t="inlineStr">
        <is>
          <t>Math Kids</t>
        </is>
      </c>
      <c r="B38" t="n">
        <v>7</v>
      </c>
      <c r="C38" s="4">
        <f>VLOOKUP(A38,Courses!$B:$D,3,FALSE)+(B38-1)*7</f>
        <v/>
      </c>
      <c r="D38">
        <f>IF(C38="","",TEXT(C38,"yyyy-mm"))</f>
        <v/>
      </c>
      <c r="E38">
        <f>VLOOKUP(A38,Courses!$B:$C,2,FALSE)</f>
        <v/>
      </c>
    </row>
    <row r="39">
      <c r="A39" t="inlineStr">
        <is>
          <t>Math Kids</t>
        </is>
      </c>
      <c r="B39" t="n">
        <v>8</v>
      </c>
      <c r="C39" s="4">
        <f>VLOOKUP(A39,Courses!$B:$D,3,FALSE)+(B39-1)*7</f>
        <v/>
      </c>
      <c r="D39">
        <f>IF(C39="","",TEXT(C39,"yyyy-mm"))</f>
        <v/>
      </c>
      <c r="E39">
        <f>VLOOKUP(A39,Courses!$B:$C,2,FALSE)</f>
        <v/>
      </c>
    </row>
    <row r="40">
      <c r="A40" t="inlineStr">
        <is>
          <t>Math Kids</t>
        </is>
      </c>
      <c r="B40" t="n">
        <v>9</v>
      </c>
      <c r="C40" s="4">
        <f>VLOOKUP(A40,Courses!$B:$D,3,FALSE)+(B40-1)*7</f>
        <v/>
      </c>
      <c r="D40">
        <f>IF(C40="","",TEXT(C40,"yyyy-mm"))</f>
        <v/>
      </c>
      <c r="E40">
        <f>VLOOKUP(A40,Courses!$B:$C,2,FALSE)</f>
        <v/>
      </c>
    </row>
    <row r="41">
      <c r="A41" t="inlineStr">
        <is>
          <t>Math Kids</t>
        </is>
      </c>
      <c r="B41" t="n">
        <v>10</v>
      </c>
      <c r="C41" s="4">
        <f>VLOOKUP(A41,Courses!$B:$D,3,FALSE)+(B41-1)*7</f>
        <v/>
      </c>
      <c r="D41">
        <f>IF(C41="","",TEXT(C41,"yyyy-mm"))</f>
        <v/>
      </c>
      <c r="E41">
        <f>VLOOKUP(A41,Courses!$B:$C,2,FALSE)</f>
        <v/>
      </c>
    </row>
    <row r="42">
      <c r="A42" t="inlineStr">
        <is>
          <t>Math Kids</t>
        </is>
      </c>
      <c r="B42" t="n">
        <v>11</v>
      </c>
      <c r="C42" s="4">
        <f>VLOOKUP(A42,Courses!$B:$D,3,FALSE)+(B42-1)*7</f>
        <v/>
      </c>
      <c r="D42">
        <f>IF(C42="","",TEXT(C42,"yyyy-mm"))</f>
        <v/>
      </c>
      <c r="E42">
        <f>VLOOKUP(A42,Courses!$B:$C,2,FALSE)</f>
        <v/>
      </c>
    </row>
    <row r="43">
      <c r="A43" t="inlineStr">
        <is>
          <t>Math Kids</t>
        </is>
      </c>
      <c r="B43" t="n">
        <v>12</v>
      </c>
      <c r="C43" s="4">
        <f>VLOOKUP(A43,Courses!$B:$D,3,FALSE)+(B43-1)*7</f>
        <v/>
      </c>
      <c r="D43">
        <f>IF(C43="","",TEXT(C43,"yyyy-mm"))</f>
        <v/>
      </c>
      <c r="E43">
        <f>VLOOKUP(A43,Courses!$B:$C,2,FALSE)</f>
        <v/>
      </c>
    </row>
    <row r="44">
      <c r="A44" t="inlineStr">
        <is>
          <t>Math Kids</t>
        </is>
      </c>
      <c r="B44" t="n">
        <v>13</v>
      </c>
      <c r="C44" s="4">
        <f>VLOOKUP(A44,Courses!$B:$D,3,FALSE)+(B44-1)*7</f>
        <v/>
      </c>
      <c r="D44">
        <f>IF(C44="","",TEXT(C44,"yyyy-mm"))</f>
        <v/>
      </c>
      <c r="E44">
        <f>VLOOKUP(A44,Courses!$B:$C,2,FALSE)</f>
        <v/>
      </c>
    </row>
    <row r="45">
      <c r="A45" t="inlineStr">
        <is>
          <t>Math Kids</t>
        </is>
      </c>
      <c r="B45" t="n">
        <v>14</v>
      </c>
      <c r="C45" s="4">
        <f>VLOOKUP(A45,Courses!$B:$D,3,FALSE)+(B45-1)*7</f>
        <v/>
      </c>
      <c r="D45">
        <f>IF(C45="","",TEXT(C45,"yyyy-mm"))</f>
        <v/>
      </c>
      <c r="E45">
        <f>VLOOKUP(A45,Courses!$B:$C,2,FALSE)</f>
        <v/>
      </c>
    </row>
    <row r="46">
      <c r="A46" t="inlineStr">
        <is>
          <t>Math Kids</t>
        </is>
      </c>
      <c r="B46" t="n">
        <v>15</v>
      </c>
      <c r="C46" s="4">
        <f>VLOOKUP(A46,Courses!$B:$D,3,FALSE)+(B46-1)*7</f>
        <v/>
      </c>
      <c r="D46">
        <f>IF(C46="","",TEXT(C46,"yyyy-mm"))</f>
        <v/>
      </c>
      <c r="E46">
        <f>VLOOKUP(A46,Courses!$B:$C,2,FALSE)</f>
        <v/>
      </c>
    </row>
    <row r="47">
      <c r="A47" t="inlineStr">
        <is>
          <t>Math Kids</t>
        </is>
      </c>
      <c r="B47" t="n">
        <v>16</v>
      </c>
      <c r="C47" s="4">
        <f>VLOOKUP(A47,Courses!$B:$D,3,FALSE)+(B47-1)*7</f>
        <v/>
      </c>
      <c r="D47">
        <f>IF(C47="","",TEXT(C47,"yyyy-mm"))</f>
        <v/>
      </c>
      <c r="E47">
        <f>VLOOKUP(A47,Courses!$B:$C,2,FALSE)</f>
        <v/>
      </c>
    </row>
    <row r="48">
      <c r="A48" t="inlineStr">
        <is>
          <t>Math Kids</t>
        </is>
      </c>
      <c r="B48" t="n">
        <v>17</v>
      </c>
      <c r="C48" s="4">
        <f>VLOOKUP(A48,Courses!$B:$D,3,FALSE)+(B48-1)*7</f>
        <v/>
      </c>
      <c r="D48">
        <f>IF(C48="","",TEXT(C48,"yyyy-mm"))</f>
        <v/>
      </c>
      <c r="E48">
        <f>VLOOKUP(A48,Courses!$B:$C,2,FALSE)</f>
        <v/>
      </c>
    </row>
    <row r="49">
      <c r="A49" t="inlineStr">
        <is>
          <t>Math Kids</t>
        </is>
      </c>
      <c r="B49" t="n">
        <v>18</v>
      </c>
      <c r="C49" s="4">
        <f>VLOOKUP(A49,Courses!$B:$D,3,FALSE)+(B49-1)*7</f>
        <v/>
      </c>
      <c r="D49">
        <f>IF(C49="","",TEXT(C49,"yyyy-mm"))</f>
        <v/>
      </c>
      <c r="E49">
        <f>VLOOKUP(A49,Courses!$B:$C,2,FALSE)</f>
        <v/>
      </c>
    </row>
    <row r="50">
      <c r="A50" t="inlineStr">
        <is>
          <t>Math Kids</t>
        </is>
      </c>
      <c r="B50" t="n">
        <v>19</v>
      </c>
      <c r="C50" s="4">
        <f>VLOOKUP(A50,Courses!$B:$D,3,FALSE)+(B50-1)*7</f>
        <v/>
      </c>
      <c r="D50">
        <f>IF(C50="","",TEXT(C50,"yyyy-mm"))</f>
        <v/>
      </c>
      <c r="E50">
        <f>VLOOKUP(A50,Courses!$B:$C,2,FALSE)</f>
        <v/>
      </c>
    </row>
    <row r="51">
      <c r="A51" t="inlineStr">
        <is>
          <t>Math Kids</t>
        </is>
      </c>
      <c r="B51" t="n">
        <v>20</v>
      </c>
      <c r="C51" s="4">
        <f>VLOOKUP(A51,Courses!$B:$D,3,FALSE)+(B51-1)*7</f>
        <v/>
      </c>
      <c r="D51">
        <f>IF(C51="","",TEXT(C51,"yyyy-mm"))</f>
        <v/>
      </c>
      <c r="E51">
        <f>VLOOKUP(A51,Courses!$B:$C,2,FALSE)</f>
        <v/>
      </c>
    </row>
    <row r="52">
      <c r="A52" t="inlineStr">
        <is>
          <t>Math Kids</t>
        </is>
      </c>
      <c r="B52" t="n">
        <v>21</v>
      </c>
      <c r="C52" s="4">
        <f>VLOOKUP(A52,Courses!$B:$D,3,FALSE)+(B52-1)*7</f>
        <v/>
      </c>
      <c r="D52">
        <f>IF(C52="","",TEXT(C52,"yyyy-mm"))</f>
        <v/>
      </c>
      <c r="E52">
        <f>VLOOKUP(A52,Courses!$B:$C,2,FALSE)</f>
        <v/>
      </c>
    </row>
    <row r="53">
      <c r="A53" t="inlineStr">
        <is>
          <t>Math Kids</t>
        </is>
      </c>
      <c r="B53" t="n">
        <v>22</v>
      </c>
      <c r="C53" s="4">
        <f>VLOOKUP(A53,Courses!$B:$D,3,FALSE)+(B53-1)*7</f>
        <v/>
      </c>
      <c r="D53">
        <f>IF(C53="","",TEXT(C53,"yyyy-mm"))</f>
        <v/>
      </c>
      <c r="E53">
        <f>VLOOKUP(A53,Courses!$B:$C,2,FALSE)</f>
        <v/>
      </c>
    </row>
    <row r="54">
      <c r="A54" t="inlineStr">
        <is>
          <t>Math Kids</t>
        </is>
      </c>
      <c r="B54" t="n">
        <v>23</v>
      </c>
      <c r="C54" s="4">
        <f>VLOOKUP(A54,Courses!$B:$D,3,FALSE)+(B54-1)*7</f>
        <v/>
      </c>
      <c r="D54">
        <f>IF(C54="","",TEXT(C54,"yyyy-mm"))</f>
        <v/>
      </c>
      <c r="E54">
        <f>VLOOKUP(A54,Courses!$B:$C,2,FALSE)</f>
        <v/>
      </c>
    </row>
    <row r="55">
      <c r="A55" t="inlineStr">
        <is>
          <t>Math Kids</t>
        </is>
      </c>
      <c r="B55" t="n">
        <v>24</v>
      </c>
      <c r="C55" s="4">
        <f>VLOOKUP(A55,Courses!$B:$D,3,FALSE)+(B55-1)*7</f>
        <v/>
      </c>
      <c r="D55">
        <f>IF(C55="","",TEXT(C55,"yyyy-mm"))</f>
        <v/>
      </c>
      <c r="E55">
        <f>VLOOKUP(A55,Courses!$B:$C,2,FALSE)</f>
        <v/>
      </c>
    </row>
    <row r="56">
      <c r="A56" t="inlineStr">
        <is>
          <t>Math Kids</t>
        </is>
      </c>
      <c r="B56" t="n">
        <v>25</v>
      </c>
      <c r="C56" s="4">
        <f>VLOOKUP(A56,Courses!$B:$D,3,FALSE)+(B56-1)*7</f>
        <v/>
      </c>
      <c r="D56">
        <f>IF(C56="","",TEXT(C56,"yyyy-mm"))</f>
        <v/>
      </c>
      <c r="E56">
        <f>VLOOKUP(A56,Courses!$B:$C,2,FALSE)</f>
        <v/>
      </c>
    </row>
    <row r="57">
      <c r="A57" t="inlineStr">
        <is>
          <t>Math Kids</t>
        </is>
      </c>
      <c r="B57" t="n">
        <v>26</v>
      </c>
      <c r="C57" s="4">
        <f>VLOOKUP(A57,Courses!$B:$D,3,FALSE)+(B57-1)*7</f>
        <v/>
      </c>
      <c r="D57">
        <f>IF(C57="","",TEXT(C57,"yyyy-mm"))</f>
        <v/>
      </c>
      <c r="E57">
        <f>VLOOKUP(A57,Courses!$B:$C,2,FALSE)</f>
        <v/>
      </c>
    </row>
    <row r="58">
      <c r="A58" t="inlineStr">
        <is>
          <t>Math Kids</t>
        </is>
      </c>
      <c r="B58" t="n">
        <v>27</v>
      </c>
      <c r="C58" s="4">
        <f>VLOOKUP(A58,Courses!$B:$D,3,FALSE)+(B58-1)*7</f>
        <v/>
      </c>
      <c r="D58">
        <f>IF(C58="","",TEXT(C58,"yyyy-mm"))</f>
        <v/>
      </c>
      <c r="E58">
        <f>VLOOKUP(A58,Courses!$B:$C,2,FALSE)</f>
        <v/>
      </c>
    </row>
    <row r="59">
      <c r="A59" t="inlineStr">
        <is>
          <t>Math Kids</t>
        </is>
      </c>
      <c r="B59" t="n">
        <v>28</v>
      </c>
      <c r="C59" s="4">
        <f>VLOOKUP(A59,Courses!$B:$D,3,FALSE)+(B59-1)*7</f>
        <v/>
      </c>
      <c r="D59">
        <f>IF(C59="","",TEXT(C59,"yyyy-mm"))</f>
        <v/>
      </c>
      <c r="E59">
        <f>VLOOKUP(A59,Courses!$B:$C,2,FALSE)</f>
        <v/>
      </c>
    </row>
    <row r="60">
      <c r="A60" t="inlineStr">
        <is>
          <t>Math Kids</t>
        </is>
      </c>
      <c r="B60" t="n">
        <v>29</v>
      </c>
      <c r="C60" s="4">
        <f>VLOOKUP(A60,Courses!$B:$D,3,FALSE)+(B60-1)*7</f>
        <v/>
      </c>
      <c r="D60">
        <f>IF(C60="","",TEXT(C60,"yyyy-mm"))</f>
        <v/>
      </c>
      <c r="E60">
        <f>VLOOKUP(A60,Courses!$B:$C,2,FALSE)</f>
        <v/>
      </c>
    </row>
    <row r="61">
      <c r="A61" t="inlineStr">
        <is>
          <t>Math Kids</t>
        </is>
      </c>
      <c r="B61" t="n">
        <v>30</v>
      </c>
      <c r="C61" s="4">
        <f>VLOOKUP(A61,Courses!$B:$D,3,FALSE)+(B61-1)*7</f>
        <v/>
      </c>
      <c r="D61">
        <f>IF(C61="","",TEXT(C61,"yyyy-mm"))</f>
        <v/>
      </c>
      <c r="E61">
        <f>VLOOKUP(A61,Courses!$B:$C,2,FALSE)</f>
        <v/>
      </c>
    </row>
  </sheetData>
  <autoFilter ref="A1:E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2" customWidth="1" min="4" max="4"/>
    <col width="20" customWidth="1" min="5" max="5"/>
    <col width="42" customWidth="1" min="6" max="6"/>
  </cols>
  <sheetData>
    <row r="1">
      <c r="A1" s="2" t="inlineStr">
        <is>
          <t>Student_Name</t>
        </is>
      </c>
      <c r="B1" s="2" t="inlineStr">
        <is>
          <t>Session_Date</t>
        </is>
      </c>
      <c r="C1" s="2" t="inlineStr">
        <is>
          <t>Course_auto</t>
        </is>
      </c>
      <c r="D1" s="2" t="inlineStr">
        <is>
          <t>Status</t>
        </is>
      </c>
      <c r="E1" s="2" t="inlineStr">
        <is>
          <t>Counts_As_Used</t>
        </is>
      </c>
      <c r="F1" s="2" t="inlineStr">
        <is>
          <t>Note</t>
        </is>
      </c>
    </row>
    <row r="2">
      <c r="A2" t="inlineStr">
        <is>
          <t>Ahmed Ali</t>
        </is>
      </c>
      <c r="B2" s="4" t="n">
        <v>46279</v>
      </c>
      <c r="C2">
        <f>IF(A2="","",VLOOKUP(A2,Students!$B:$F,5,FALSE))</f>
        <v/>
      </c>
      <c r="D2" t="inlineStr">
        <is>
          <t>Excused</t>
        </is>
      </c>
      <c r="E2">
        <f>IF(D2="Excused","NO (extends once)",IF(D2="","", "YES"))</f>
        <v/>
      </c>
      <c r="F2">
        <f>IF(COUNTIFS($A$2:$A$31,A2,$D$2:$D$31,"Excused")&gt;1,"WARNING: &gt;1 Excused — extras count as used","")</f>
        <v/>
      </c>
    </row>
    <row r="3">
      <c r="A3" t="inlineStr">
        <is>
          <t>Sara Mohamed</t>
        </is>
      </c>
      <c r="B3" s="4" t="n">
        <v>46279</v>
      </c>
      <c r="C3">
        <f>IF(A3="","",VLOOKUP(A3,Students!$B:$F,5,FALSE))</f>
        <v/>
      </c>
      <c r="D3" t="inlineStr">
        <is>
          <t>Present</t>
        </is>
      </c>
      <c r="E3">
        <f>IF(D3="Excused","NO (extends once)",IF(D3="","", "YES"))</f>
        <v/>
      </c>
      <c r="F3">
        <f>IF(COUNTIFS($A$2:$A$31,A3,$D$2:$D$31,"Excused")&gt;1,"WARNING: &gt;1 Excused — extras count as used","")</f>
        <v/>
      </c>
    </row>
    <row r="4">
      <c r="A4" t="inlineStr">
        <is>
          <t>Ahmed Ali</t>
        </is>
      </c>
      <c r="B4" s="4" t="n">
        <v>46286</v>
      </c>
      <c r="C4">
        <f>IF(A4="","",VLOOKUP(A4,Students!$B:$F,5,FALSE))</f>
        <v/>
      </c>
      <c r="D4" t="inlineStr">
        <is>
          <t>Counted</t>
        </is>
      </c>
      <c r="E4">
        <f>IF(D4="Excused","NO (extends once)",IF(D4="","", "YES"))</f>
        <v/>
      </c>
      <c r="F4">
        <f>IF(COUNTIFS($A$2:$A$31,A4,$D$2:$D$31,"Excused")&gt;1,"WARNING: &gt;1 Excused — extras count as used","")</f>
        <v/>
      </c>
    </row>
    <row r="5">
      <c r="A5" t="inlineStr"/>
      <c r="B5" s="4" t="inlineStr"/>
      <c r="C5">
        <f>IF(A5="","",VLOOKUP(A5,Students!$B:$F,5,FALSE))</f>
        <v/>
      </c>
      <c r="D5" t="inlineStr"/>
      <c r="E5">
        <f>IF(D5="Excused","NO (extends once)",IF(D5="","", "YES"))</f>
        <v/>
      </c>
      <c r="F5">
        <f>IF(COUNTIFS($A$2:$A$31,A5,$D$2:$D$31,"Excused")&gt;1,"WARNING: &gt;1 Excused — extras count as used","")</f>
        <v/>
      </c>
    </row>
    <row r="6">
      <c r="A6" t="inlineStr"/>
      <c r="B6" s="4" t="inlineStr"/>
      <c r="C6">
        <f>IF(A6="","",VLOOKUP(A6,Students!$B:$F,5,FALSE))</f>
        <v/>
      </c>
      <c r="D6" t="inlineStr"/>
      <c r="E6">
        <f>IF(D6="Excused","NO (extends once)",IF(D6="","", "YES"))</f>
        <v/>
      </c>
      <c r="F6">
        <f>IF(COUNTIFS($A$2:$A$31,A6,$D$2:$D$31,"Excused")&gt;1,"WARNING: &gt;1 Excused — extras count as used","")</f>
        <v/>
      </c>
    </row>
    <row r="7">
      <c r="A7" t="inlineStr"/>
      <c r="B7" s="4" t="inlineStr"/>
      <c r="C7">
        <f>IF(A7="","",VLOOKUP(A7,Students!$B:$F,5,FALSE))</f>
        <v/>
      </c>
      <c r="D7" t="inlineStr"/>
      <c r="E7">
        <f>IF(D7="Excused","NO (extends once)",IF(D7="","", "YES"))</f>
        <v/>
      </c>
      <c r="F7">
        <f>IF(COUNTIFS($A$2:$A$31,A7,$D$2:$D$31,"Excused")&gt;1,"WARNING: &gt;1 Excused — extras count as used","")</f>
        <v/>
      </c>
    </row>
    <row r="8">
      <c r="A8" t="inlineStr"/>
      <c r="B8" s="4" t="inlineStr"/>
      <c r="C8">
        <f>IF(A8="","",VLOOKUP(A8,Students!$B:$F,5,FALSE))</f>
        <v/>
      </c>
      <c r="D8" t="inlineStr"/>
      <c r="E8">
        <f>IF(D8="Excused","NO (extends once)",IF(D8="","", "YES"))</f>
        <v/>
      </c>
      <c r="F8">
        <f>IF(COUNTIFS($A$2:$A$31,A8,$D$2:$D$31,"Excused")&gt;1,"WARNING: &gt;1 Excused — extras count as used","")</f>
        <v/>
      </c>
    </row>
    <row r="9">
      <c r="A9" t="inlineStr"/>
      <c r="B9" s="4" t="inlineStr"/>
      <c r="C9">
        <f>IF(A9="","",VLOOKUP(A9,Students!$B:$F,5,FALSE))</f>
        <v/>
      </c>
      <c r="D9" t="inlineStr"/>
      <c r="E9">
        <f>IF(D9="Excused","NO (extends once)",IF(D9="","", "YES"))</f>
        <v/>
      </c>
      <c r="F9">
        <f>IF(COUNTIFS($A$2:$A$31,A9,$D$2:$D$31,"Excused")&gt;1,"WARNING: &gt;1 Excused — extras count as used","")</f>
        <v/>
      </c>
    </row>
    <row r="10">
      <c r="A10" t="inlineStr"/>
      <c r="B10" s="4" t="inlineStr"/>
      <c r="C10">
        <f>IF(A10="","",VLOOKUP(A10,Students!$B:$F,5,FALSE))</f>
        <v/>
      </c>
      <c r="D10" t="inlineStr"/>
      <c r="E10">
        <f>IF(D10="Excused","NO (extends once)",IF(D10="","", "YES"))</f>
        <v/>
      </c>
      <c r="F10">
        <f>IF(COUNTIFS($A$2:$A$31,A10,$D$2:$D$31,"Excused")&gt;1,"WARNING: &gt;1 Excused — extras count as used","")</f>
        <v/>
      </c>
    </row>
    <row r="11">
      <c r="A11" t="inlineStr"/>
      <c r="B11" s="4" t="inlineStr"/>
      <c r="C11">
        <f>IF(A11="","",VLOOKUP(A11,Students!$B:$F,5,FALSE))</f>
        <v/>
      </c>
      <c r="D11" t="inlineStr"/>
      <c r="E11">
        <f>IF(D11="Excused","NO (extends once)",IF(D11="","", "YES"))</f>
        <v/>
      </c>
      <c r="F11">
        <f>IF(COUNTIFS($A$2:$A$31,A11,$D$2:$D$31,"Excused")&gt;1,"WARNING: &gt;1 Excused — extras count as used","")</f>
        <v/>
      </c>
    </row>
    <row r="12">
      <c r="A12" t="inlineStr"/>
      <c r="B12" s="4" t="inlineStr"/>
      <c r="C12">
        <f>IF(A12="","",VLOOKUP(A12,Students!$B:$F,5,FALSE))</f>
        <v/>
      </c>
      <c r="D12" t="inlineStr"/>
      <c r="E12">
        <f>IF(D12="Excused","NO (extends once)",IF(D12="","", "YES"))</f>
        <v/>
      </c>
      <c r="F12">
        <f>IF(COUNTIFS($A$2:$A$31,A12,$D$2:$D$31,"Excused")&gt;1,"WARNING: &gt;1 Excused — extras count as used","")</f>
        <v/>
      </c>
    </row>
    <row r="13">
      <c r="A13" t="inlineStr"/>
      <c r="B13" s="4" t="inlineStr"/>
      <c r="C13">
        <f>IF(A13="","",VLOOKUP(A13,Students!$B:$F,5,FALSE))</f>
        <v/>
      </c>
      <c r="D13" t="inlineStr"/>
      <c r="E13">
        <f>IF(D13="Excused","NO (extends once)",IF(D13="","", "YES"))</f>
        <v/>
      </c>
      <c r="F13">
        <f>IF(COUNTIFS($A$2:$A$31,A13,$D$2:$D$31,"Excused")&gt;1,"WARNING: &gt;1 Excused — extras count as used","")</f>
        <v/>
      </c>
    </row>
    <row r="14">
      <c r="A14" t="inlineStr"/>
      <c r="B14" s="4" t="inlineStr"/>
      <c r="C14">
        <f>IF(A14="","",VLOOKUP(A14,Students!$B:$F,5,FALSE))</f>
        <v/>
      </c>
      <c r="D14" t="inlineStr"/>
      <c r="E14">
        <f>IF(D14="Excused","NO (extends once)",IF(D14="","", "YES"))</f>
        <v/>
      </c>
      <c r="F14">
        <f>IF(COUNTIFS($A$2:$A$31,A14,$D$2:$D$31,"Excused")&gt;1,"WARNING: &gt;1 Excused — extras count as used","")</f>
        <v/>
      </c>
    </row>
    <row r="15">
      <c r="A15" t="inlineStr"/>
      <c r="B15" s="4" t="inlineStr"/>
      <c r="C15">
        <f>IF(A15="","",VLOOKUP(A15,Students!$B:$F,5,FALSE))</f>
        <v/>
      </c>
      <c r="D15" t="inlineStr"/>
      <c r="E15">
        <f>IF(D15="Excused","NO (extends once)",IF(D15="","", "YES"))</f>
        <v/>
      </c>
      <c r="F15">
        <f>IF(COUNTIFS($A$2:$A$31,A15,$D$2:$D$31,"Excused")&gt;1,"WARNING: &gt;1 Excused — extras count as used","")</f>
        <v/>
      </c>
    </row>
    <row r="16">
      <c r="A16" t="inlineStr"/>
      <c r="B16" s="4" t="inlineStr"/>
      <c r="C16">
        <f>IF(A16="","",VLOOKUP(A16,Students!$B:$F,5,FALSE))</f>
        <v/>
      </c>
      <c r="D16" t="inlineStr"/>
      <c r="E16">
        <f>IF(D16="Excused","NO (extends once)",IF(D16="","", "YES"))</f>
        <v/>
      </c>
      <c r="F16">
        <f>IF(COUNTIFS($A$2:$A$31,A16,$D$2:$D$31,"Excused")&gt;1,"WARNING: &gt;1 Excused — extras count as used","")</f>
        <v/>
      </c>
    </row>
    <row r="17">
      <c r="A17" t="inlineStr"/>
      <c r="B17" s="4" t="inlineStr"/>
      <c r="C17">
        <f>IF(A17="","",VLOOKUP(A17,Students!$B:$F,5,FALSE))</f>
        <v/>
      </c>
      <c r="D17" t="inlineStr"/>
      <c r="E17">
        <f>IF(D17="Excused","NO (extends once)",IF(D17="","", "YES"))</f>
        <v/>
      </c>
      <c r="F17">
        <f>IF(COUNTIFS($A$2:$A$31,A17,$D$2:$D$31,"Excused")&gt;1,"WARNING: &gt;1 Excused — extras count as used","")</f>
        <v/>
      </c>
    </row>
    <row r="18">
      <c r="A18" t="inlineStr"/>
      <c r="B18" s="4" t="inlineStr"/>
      <c r="C18">
        <f>IF(A18="","",VLOOKUP(A18,Students!$B:$F,5,FALSE))</f>
        <v/>
      </c>
      <c r="D18" t="inlineStr"/>
      <c r="E18">
        <f>IF(D18="Excused","NO (extends once)",IF(D18="","", "YES"))</f>
        <v/>
      </c>
      <c r="F18">
        <f>IF(COUNTIFS($A$2:$A$31,A18,$D$2:$D$31,"Excused")&gt;1,"WARNING: &gt;1 Excused — extras count as used","")</f>
        <v/>
      </c>
    </row>
    <row r="19">
      <c r="A19" t="inlineStr"/>
      <c r="B19" s="4" t="inlineStr"/>
      <c r="C19">
        <f>IF(A19="","",VLOOKUP(A19,Students!$B:$F,5,FALSE))</f>
        <v/>
      </c>
      <c r="D19" t="inlineStr"/>
      <c r="E19">
        <f>IF(D19="Excused","NO (extends once)",IF(D19="","", "YES"))</f>
        <v/>
      </c>
      <c r="F19">
        <f>IF(COUNTIFS($A$2:$A$31,A19,$D$2:$D$31,"Excused")&gt;1,"WARNING: &gt;1 Excused — extras count as used","")</f>
        <v/>
      </c>
    </row>
    <row r="20">
      <c r="A20" t="inlineStr"/>
      <c r="B20" s="4" t="inlineStr"/>
      <c r="C20">
        <f>IF(A20="","",VLOOKUP(A20,Students!$B:$F,5,FALSE))</f>
        <v/>
      </c>
      <c r="D20" t="inlineStr"/>
      <c r="E20">
        <f>IF(D20="Excused","NO (extends once)",IF(D20="","", "YES"))</f>
        <v/>
      </c>
      <c r="F20">
        <f>IF(COUNTIFS($A$2:$A$31,A20,$D$2:$D$31,"Excused")&gt;1,"WARNING: &gt;1 Excused — extras count as used","")</f>
        <v/>
      </c>
    </row>
    <row r="21">
      <c r="A21" t="inlineStr"/>
      <c r="B21" s="4" t="inlineStr"/>
      <c r="C21">
        <f>IF(A21="","",VLOOKUP(A21,Students!$B:$F,5,FALSE))</f>
        <v/>
      </c>
      <c r="D21" t="inlineStr"/>
      <c r="E21">
        <f>IF(D21="Excused","NO (extends once)",IF(D21="","", "YES"))</f>
        <v/>
      </c>
      <c r="F21">
        <f>IF(COUNTIFS($A$2:$A$31,A21,$D$2:$D$31,"Excused")&gt;1,"WARNING: &gt;1 Excused — extras count as used","")</f>
        <v/>
      </c>
    </row>
    <row r="22">
      <c r="A22" t="inlineStr"/>
      <c r="B22" s="4" t="inlineStr"/>
      <c r="C22">
        <f>IF(A22="","",VLOOKUP(A22,Students!$B:$F,5,FALSE))</f>
        <v/>
      </c>
      <c r="D22" t="inlineStr"/>
      <c r="E22">
        <f>IF(D22="Excused","NO (extends once)",IF(D22="","", "YES"))</f>
        <v/>
      </c>
      <c r="F22">
        <f>IF(COUNTIFS($A$2:$A$31,A22,$D$2:$D$31,"Excused")&gt;1,"WARNING: &gt;1 Excused — extras count as used","")</f>
        <v/>
      </c>
    </row>
    <row r="23">
      <c r="A23" t="inlineStr"/>
      <c r="B23" s="4" t="inlineStr"/>
      <c r="C23">
        <f>IF(A23="","",VLOOKUP(A23,Students!$B:$F,5,FALSE))</f>
        <v/>
      </c>
      <c r="D23" t="inlineStr"/>
      <c r="E23">
        <f>IF(D23="Excused","NO (extends once)",IF(D23="","", "YES"))</f>
        <v/>
      </c>
      <c r="F23">
        <f>IF(COUNTIFS($A$2:$A$31,A23,$D$2:$D$31,"Excused")&gt;1,"WARNING: &gt;1 Excused — extras count as used","")</f>
        <v/>
      </c>
    </row>
    <row r="24">
      <c r="A24" t="inlineStr"/>
      <c r="B24" s="4" t="inlineStr"/>
      <c r="C24">
        <f>IF(A24="","",VLOOKUP(A24,Students!$B:$F,5,FALSE))</f>
        <v/>
      </c>
      <c r="D24" t="inlineStr"/>
      <c r="E24">
        <f>IF(D24="Excused","NO (extends once)",IF(D24="","", "YES"))</f>
        <v/>
      </c>
      <c r="F24">
        <f>IF(COUNTIFS($A$2:$A$31,A24,$D$2:$D$31,"Excused")&gt;1,"WARNING: &gt;1 Excused — extras count as used","")</f>
        <v/>
      </c>
    </row>
    <row r="25">
      <c r="A25" t="inlineStr"/>
      <c r="B25" s="4" t="inlineStr"/>
      <c r="C25">
        <f>IF(A25="","",VLOOKUP(A25,Students!$B:$F,5,FALSE))</f>
        <v/>
      </c>
      <c r="D25" t="inlineStr"/>
      <c r="E25">
        <f>IF(D25="Excused","NO (extends once)",IF(D25="","", "YES"))</f>
        <v/>
      </c>
      <c r="F25">
        <f>IF(COUNTIFS($A$2:$A$31,A25,$D$2:$D$31,"Excused")&gt;1,"WARNING: &gt;1 Excused — extras count as used","")</f>
        <v/>
      </c>
    </row>
    <row r="26">
      <c r="A26" t="inlineStr"/>
      <c r="B26" s="4" t="inlineStr"/>
      <c r="C26">
        <f>IF(A26="","",VLOOKUP(A26,Students!$B:$F,5,FALSE))</f>
        <v/>
      </c>
      <c r="D26" t="inlineStr"/>
      <c r="E26">
        <f>IF(D26="Excused","NO (extends once)",IF(D26="","", "YES"))</f>
        <v/>
      </c>
      <c r="F26">
        <f>IF(COUNTIFS($A$2:$A$31,A26,$D$2:$D$31,"Excused")&gt;1,"WARNING: &gt;1 Excused — extras count as used","")</f>
        <v/>
      </c>
    </row>
    <row r="27">
      <c r="A27" t="inlineStr"/>
      <c r="B27" s="4" t="inlineStr"/>
      <c r="C27">
        <f>IF(A27="","",VLOOKUP(A27,Students!$B:$F,5,FALSE))</f>
        <v/>
      </c>
      <c r="D27" t="inlineStr"/>
      <c r="E27">
        <f>IF(D27="Excused","NO (extends once)",IF(D27="","", "YES"))</f>
        <v/>
      </c>
      <c r="F27">
        <f>IF(COUNTIFS($A$2:$A$31,A27,$D$2:$D$31,"Excused")&gt;1,"WARNING: &gt;1 Excused — extras count as used","")</f>
        <v/>
      </c>
    </row>
    <row r="28">
      <c r="A28" t="inlineStr"/>
      <c r="B28" s="4" t="inlineStr"/>
      <c r="C28">
        <f>IF(A28="","",VLOOKUP(A28,Students!$B:$F,5,FALSE))</f>
        <v/>
      </c>
      <c r="D28" t="inlineStr"/>
      <c r="E28">
        <f>IF(D28="Excused","NO (extends once)",IF(D28="","", "YES"))</f>
        <v/>
      </c>
      <c r="F28">
        <f>IF(COUNTIFS($A$2:$A$31,A28,$D$2:$D$31,"Excused")&gt;1,"WARNING: &gt;1 Excused — extras count as used","")</f>
        <v/>
      </c>
    </row>
    <row r="29">
      <c r="A29" t="inlineStr"/>
      <c r="B29" s="4" t="inlineStr"/>
      <c r="C29">
        <f>IF(A29="","",VLOOKUP(A29,Students!$B:$F,5,FALSE))</f>
        <v/>
      </c>
      <c r="D29" t="inlineStr"/>
      <c r="E29">
        <f>IF(D29="Excused","NO (extends once)",IF(D29="","", "YES"))</f>
        <v/>
      </c>
      <c r="F29">
        <f>IF(COUNTIFS($A$2:$A$31,A29,$D$2:$D$31,"Excused")&gt;1,"WARNING: &gt;1 Excused — extras count as used","")</f>
        <v/>
      </c>
    </row>
    <row r="30">
      <c r="A30" t="inlineStr"/>
      <c r="B30" s="4" t="inlineStr"/>
      <c r="C30">
        <f>IF(A30="","",VLOOKUP(A30,Students!$B:$F,5,FALSE))</f>
        <v/>
      </c>
      <c r="D30" t="inlineStr"/>
      <c r="E30">
        <f>IF(D30="Excused","NO (extends once)",IF(D30="","", "YES"))</f>
        <v/>
      </c>
      <c r="F30">
        <f>IF(COUNTIFS($A$2:$A$31,A30,$D$2:$D$31,"Excused")&gt;1,"WARNING: &gt;1 Excused — extras count as used","")</f>
        <v/>
      </c>
    </row>
    <row r="31">
      <c r="A31" t="inlineStr"/>
      <c r="B31" s="4" t="inlineStr"/>
      <c r="C31">
        <f>IF(A31="","",VLOOKUP(A31,Students!$B:$F,5,FALSE))</f>
        <v/>
      </c>
      <c r="D31" t="inlineStr"/>
      <c r="E31">
        <f>IF(D31="Excused","NO (extends once)",IF(D31="","", "YES"))</f>
        <v/>
      </c>
      <c r="F31">
        <f>IF(COUNTIFS($A$2:$A$31,A31,$D$2:$D$31,"Excused")&gt;1,"WARNING: &gt;1 Excused — extras count as used","")</f>
        <v/>
      </c>
    </row>
  </sheetData>
  <autoFilter ref="A1:F31"/>
  <conditionalFormatting sqref="D2:D31">
    <cfRule type="expression" priority="1" dxfId="1">
      <formula>$D2="Present"</formula>
    </cfRule>
    <cfRule type="expression" priority="2" dxfId="2">
      <formula>$D2="Excused"</formula>
    </cfRule>
    <cfRule type="expression" priority="3" dxfId="0">
      <formula>$D2="Counted"</formula>
    </cfRule>
  </conditionalFormatting>
  <dataValidations count="2">
    <dataValidation sqref="A2:A31" showDropDown="0" showInputMessage="0" showErrorMessage="0" allowBlank="1" type="list">
      <formula1>Students!$B$2:$B$21</formula1>
    </dataValidation>
    <dataValidation sqref="D2:D31" showDropDown="0" showInputMessage="0" showErrorMessage="0" allowBlank="1" type="list">
      <formula1>"Present,Excused,Counted"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</cols>
  <sheetData>
    <row r="1">
      <c r="A1" s="2" t="inlineStr">
        <is>
          <t>Course_Name</t>
        </is>
      </c>
      <c r="B1" s="2" t="inlineStr">
        <is>
          <t>Month_yyyy_mm</t>
        </is>
      </c>
      <c r="C1" s="2" t="inlineStr">
        <is>
          <t>Sessions_Count_auto</t>
        </is>
      </c>
      <c r="D1" s="2" t="inlineStr">
        <is>
          <t>Total_Hours_auto</t>
        </is>
      </c>
    </row>
    <row r="2">
      <c r="A2" t="inlineStr">
        <is>
          <t>English A1</t>
        </is>
      </c>
      <c r="B2" t="inlineStr">
        <is>
          <t>2026-09</t>
        </is>
      </c>
      <c r="C2">
        <f>IF(OR(A2="",B2=""),"",COUNTIFS(Sessions!$A:$A,A2,Sessions!$D:$D,B2))</f>
        <v/>
      </c>
      <c r="D2">
        <f>IF(OR(A2="",B2=""),"",C2*VLOOKUP(A2,Courses!$B:$C,2,FALSE))</f>
        <v/>
      </c>
    </row>
    <row r="3">
      <c r="A3" t="inlineStr">
        <is>
          <t>English A1</t>
        </is>
      </c>
      <c r="B3" t="inlineStr">
        <is>
          <t>2026-10</t>
        </is>
      </c>
      <c r="C3">
        <f>IF(OR(A3="",B3=""),"",COUNTIFS(Sessions!$A:$A,A3,Sessions!$D:$D,B3))</f>
        <v/>
      </c>
      <c r="D3">
        <f>IF(OR(A3="",B3=""),"",C3*VLOOKUP(A3,Courses!$B:$C,2,FALSE))</f>
        <v/>
      </c>
    </row>
    <row r="4">
      <c r="A4" t="inlineStr">
        <is>
          <t>English A1</t>
        </is>
      </c>
      <c r="B4" t="inlineStr">
        <is>
          <t>2026-11</t>
        </is>
      </c>
      <c r="C4">
        <f>IF(OR(A4="",B4=""),"",COUNTIFS(Sessions!$A:$A,A4,Sessions!$D:$D,B4))</f>
        <v/>
      </c>
      <c r="D4">
        <f>IF(OR(A4="",B4=""),"",C4*VLOOKUP(A4,Courses!$B:$C,2,FALSE))</f>
        <v/>
      </c>
    </row>
    <row r="5">
      <c r="A5" t="inlineStr">
        <is>
          <t>English A1</t>
        </is>
      </c>
      <c r="B5" t="inlineStr">
        <is>
          <t>2026-12</t>
        </is>
      </c>
      <c r="C5">
        <f>IF(OR(A5="",B5=""),"",COUNTIFS(Sessions!$A:$A,A5,Sessions!$D:$D,B5))</f>
        <v/>
      </c>
      <c r="D5">
        <f>IF(OR(A5="",B5=""),"",C5*VLOOKUP(A5,Courses!$B:$C,2,FALSE))</f>
        <v/>
      </c>
    </row>
    <row r="6">
      <c r="A6" t="inlineStr">
        <is>
          <t>English A1</t>
        </is>
      </c>
      <c r="B6" t="inlineStr">
        <is>
          <t>2027-01</t>
        </is>
      </c>
      <c r="C6">
        <f>IF(OR(A6="",B6=""),"",COUNTIFS(Sessions!$A:$A,A6,Sessions!$D:$D,B6))</f>
        <v/>
      </c>
      <c r="D6">
        <f>IF(OR(A6="",B6=""),"",C6*VLOOKUP(A6,Courses!$B:$C,2,FALSE))</f>
        <v/>
      </c>
    </row>
    <row r="7">
      <c r="A7" t="inlineStr">
        <is>
          <t>English A1</t>
        </is>
      </c>
      <c r="B7" t="inlineStr">
        <is>
          <t>2027-02</t>
        </is>
      </c>
      <c r="C7">
        <f>IF(OR(A7="",B7=""),"",COUNTIFS(Sessions!$A:$A,A7,Sessions!$D:$D,B7))</f>
        <v/>
      </c>
      <c r="D7">
        <f>IF(OR(A7="",B7=""),"",C7*VLOOKUP(A7,Courses!$B:$C,2,FALSE))</f>
        <v/>
      </c>
    </row>
    <row r="8">
      <c r="A8" t="inlineStr">
        <is>
          <t>Math Kids</t>
        </is>
      </c>
      <c r="B8" t="inlineStr">
        <is>
          <t>2026-09</t>
        </is>
      </c>
      <c r="C8">
        <f>IF(OR(A8="",B8=""),"",COUNTIFS(Sessions!$A:$A,A8,Sessions!$D:$D,B8))</f>
        <v/>
      </c>
      <c r="D8">
        <f>IF(OR(A8="",B8=""),"",C8*VLOOKUP(A8,Courses!$B:$C,2,FALSE))</f>
        <v/>
      </c>
    </row>
    <row r="9">
      <c r="A9" t="inlineStr">
        <is>
          <t>Math Kids</t>
        </is>
      </c>
      <c r="B9" t="inlineStr">
        <is>
          <t>2026-10</t>
        </is>
      </c>
      <c r="C9">
        <f>IF(OR(A9="",B9=""),"",COUNTIFS(Sessions!$A:$A,A9,Sessions!$D:$D,B9))</f>
        <v/>
      </c>
      <c r="D9">
        <f>IF(OR(A9="",B9=""),"",C9*VLOOKUP(A9,Courses!$B:$C,2,FALSE))</f>
        <v/>
      </c>
    </row>
    <row r="10">
      <c r="A10" t="inlineStr">
        <is>
          <t>Math Kids</t>
        </is>
      </c>
      <c r="B10" t="inlineStr">
        <is>
          <t>2026-11</t>
        </is>
      </c>
      <c r="C10">
        <f>IF(OR(A10="",B10=""),"",COUNTIFS(Sessions!$A:$A,A10,Sessions!$D:$D,B10))</f>
        <v/>
      </c>
      <c r="D10">
        <f>IF(OR(A10="",B10=""),"",C10*VLOOKUP(A10,Courses!$B:$C,2,FALSE))</f>
        <v/>
      </c>
    </row>
    <row r="11">
      <c r="A11" t="inlineStr">
        <is>
          <t>Math Kids</t>
        </is>
      </c>
      <c r="B11" t="inlineStr">
        <is>
          <t>2026-12</t>
        </is>
      </c>
      <c r="C11">
        <f>IF(OR(A11="",B11=""),"",COUNTIFS(Sessions!$A:$A,A11,Sessions!$D:$D,B11))</f>
        <v/>
      </c>
      <c r="D11">
        <f>IF(OR(A11="",B11=""),"",C11*VLOOKUP(A11,Courses!$B:$C,2,FALSE))</f>
        <v/>
      </c>
    </row>
    <row r="12">
      <c r="A12" t="inlineStr">
        <is>
          <t>Math Kids</t>
        </is>
      </c>
      <c r="B12" t="inlineStr">
        <is>
          <t>2027-01</t>
        </is>
      </c>
      <c r="C12">
        <f>IF(OR(A12="",B12=""),"",COUNTIFS(Sessions!$A:$A,A12,Sessions!$D:$D,B12))</f>
        <v/>
      </c>
      <c r="D12">
        <f>IF(OR(A12="",B12=""),"",C12*VLOOKUP(A12,Courses!$B:$C,2,FALSE))</f>
        <v/>
      </c>
    </row>
    <row r="13">
      <c r="A13" t="inlineStr">
        <is>
          <t>Math Kids</t>
        </is>
      </c>
      <c r="B13" t="inlineStr">
        <is>
          <t>2027-02</t>
        </is>
      </c>
      <c r="C13">
        <f>IF(OR(A13="",B13=""),"",COUNTIFS(Sessions!$A:$A,A13,Sessions!$D:$D,B13))</f>
        <v/>
      </c>
      <c r="D13">
        <f>IF(OR(A13="",B13=""),"",C13*VLOOKUP(A13,Courses!$B:$C,2,FALSE))</f>
        <v/>
      </c>
    </row>
    <row r="14">
      <c r="A14" t="inlineStr"/>
      <c r="B14" t="inlineStr"/>
      <c r="C14">
        <f>IF(OR(A14="",B14=""),"",COUNTIFS(Sessions!$A:$A,A14,Sessions!$D:$D,B14))</f>
        <v/>
      </c>
      <c r="D14">
        <f>IF(OR(A14="",B14=""),"",C14*VLOOKUP(A14,Courses!$B:$C,2,FALSE))</f>
        <v/>
      </c>
    </row>
    <row r="15">
      <c r="A15" t="inlineStr"/>
      <c r="B15" t="inlineStr"/>
      <c r="C15">
        <f>IF(OR(A15="",B15=""),"",COUNTIFS(Sessions!$A:$A,A15,Sessions!$D:$D,B15))</f>
        <v/>
      </c>
      <c r="D15">
        <f>IF(OR(A15="",B15=""),"",C15*VLOOKUP(A15,Courses!$B:$C,2,FALSE))</f>
        <v/>
      </c>
    </row>
    <row r="16">
      <c r="A16" t="inlineStr"/>
      <c r="B16" t="inlineStr"/>
      <c r="C16">
        <f>IF(OR(A16="",B16=""),"",COUNTIFS(Sessions!$A:$A,A16,Sessions!$D:$D,B16))</f>
        <v/>
      </c>
      <c r="D16">
        <f>IF(OR(A16="",B16=""),"",C16*VLOOKUP(A16,Courses!$B:$C,2,FALSE))</f>
        <v/>
      </c>
    </row>
    <row r="17">
      <c r="A17" t="inlineStr"/>
      <c r="B17" t="inlineStr"/>
      <c r="C17">
        <f>IF(OR(A17="",B17=""),"",COUNTIFS(Sessions!$A:$A,A17,Sessions!$D:$D,B17))</f>
        <v/>
      </c>
      <c r="D17">
        <f>IF(OR(A17="",B17=""),"",C17*VLOOKUP(A17,Courses!$B:$C,2,FALSE))</f>
        <v/>
      </c>
    </row>
    <row r="18">
      <c r="A18" t="inlineStr"/>
      <c r="B18" t="inlineStr"/>
      <c r="C18">
        <f>IF(OR(A18="",B18=""),"",COUNTIFS(Sessions!$A:$A,A18,Sessions!$D:$D,B18))</f>
        <v/>
      </c>
      <c r="D18">
        <f>IF(OR(A18="",B18=""),"",C18*VLOOKUP(A18,Courses!$B:$C,2,FALSE))</f>
        <v/>
      </c>
    </row>
    <row r="19">
      <c r="A19" t="inlineStr"/>
      <c r="B19" t="inlineStr"/>
      <c r="C19">
        <f>IF(OR(A19="",B19=""),"",COUNTIFS(Sessions!$A:$A,A19,Sessions!$D:$D,B19))</f>
        <v/>
      </c>
      <c r="D19">
        <f>IF(OR(A19="",B19=""),"",C19*VLOOKUP(A19,Courses!$B:$C,2,FALSE))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2" customWidth="1" min="4" max="4"/>
    <col width="12" customWidth="1" min="5" max="5"/>
  </cols>
  <sheetData>
    <row r="1">
      <c r="A1" s="5" t="inlineStr">
        <is>
          <t>ACADEMY DASHBOARD (all live formulas)</t>
        </is>
      </c>
    </row>
    <row r="3">
      <c r="A3" s="6" t="inlineStr">
        <is>
          <t>Total courses</t>
        </is>
      </c>
      <c r="B3" s="7">
        <f>COUNTA(Courses!B2:B50)</f>
        <v/>
      </c>
    </row>
    <row r="4">
      <c r="A4" s="6" t="inlineStr">
        <is>
          <t>Total students</t>
        </is>
      </c>
      <c r="B4" s="7">
        <f>COUNTA(Students!B2:B21)</f>
        <v/>
      </c>
    </row>
    <row r="5">
      <c r="A5" s="6" t="inlineStr">
        <is>
          <t>Hours this month (all courses)</t>
        </is>
      </c>
      <c r="B5" s="7">
        <f>SUMIFS(Monthly_Hours!D:D,Monthly_Hours!B:B,TEXT(TODAY(),"yyyy-mm"))</f>
        <v/>
      </c>
    </row>
    <row r="6">
      <c r="A6" s="6" t="inlineStr">
        <is>
          <t>Unpaid cycles</t>
        </is>
      </c>
      <c r="B6" s="7">
        <f>COUNTIF(Students!L:L,"Unpaid")</f>
        <v/>
      </c>
    </row>
    <row r="7">
      <c r="A7" s="6" t="inlineStr">
        <is>
          <t>Expiring in &lt;=7 days (incl. expired)</t>
        </is>
      </c>
      <c r="B7" s="7">
        <f>COUNTIFS(Students!K:K,"&lt;=7",Students!B:B,"&lt;&gt;")</f>
        <v/>
      </c>
    </row>
    <row r="8">
      <c r="A8" s="6" t="inlineStr">
        <is>
          <t>Excused absences logged</t>
        </is>
      </c>
      <c r="B8" s="7">
        <f>COUNTIF(Attendance!D:D,"Excused")</f>
        <v/>
      </c>
    </row>
    <row r="9">
      <c r="A9" s="6" t="inlineStr">
        <is>
          <t>Total sessions scheduled</t>
        </is>
      </c>
      <c r="B9" s="7">
        <f>COUNTA(Sessions!C:C)</f>
        <v/>
      </c>
    </row>
    <row r="11">
      <c r="A11" t="inlineStr">
        <is>
          <t>Expiring list (auto): students with Days_Left&lt;=7</t>
        </is>
      </c>
    </row>
    <row r="12">
      <c r="A12" s="8" t="inlineStr">
        <is>
          <t>Student</t>
        </is>
      </c>
      <c r="B12" s="8" t="inlineStr">
        <is>
          <t>Course</t>
        </is>
      </c>
      <c r="C12" s="8" t="inlineStr">
        <is>
          <t>Sub_End</t>
        </is>
      </c>
      <c r="D12" s="8" t="inlineStr">
        <is>
          <t>Days_Left</t>
        </is>
      </c>
      <c r="E12" s="8" t="inlineStr">
        <is>
          <t>Pay</t>
        </is>
      </c>
    </row>
    <row r="13">
      <c r="A13">
        <f>IF(ROW()-12&gt;COUNTA(Students!$B:$B),"",IF(INDEX(Students!$K:$K,ROW()-12+1)&lt;=7,INDEX(Students!$B:$B,ROW()-12+1),""))</f>
        <v/>
      </c>
      <c r="B13">
        <f>IF(A13="","",VLOOKUP(A13,Students!$B:$F,5,FALSE))</f>
        <v/>
      </c>
      <c r="C13" s="4">
        <f>IF(A13="","",VLOOKUP(A13,Students!$B:$J,9,FALSE))</f>
        <v/>
      </c>
      <c r="D13">
        <f>IF(A13="","",VLOOKUP(A13,Students!$B:$K,10,FALSE))</f>
        <v/>
      </c>
      <c r="E13">
        <f>IF(A13="","",VLOOKUP(A13,Students!$B:$L,11,FALSE))</f>
        <v/>
      </c>
    </row>
    <row r="14">
      <c r="A14">
        <f>IF(ROW()-12&gt;COUNTA(Students!$B:$B),"",IF(INDEX(Students!$K:$K,ROW()-12+1)&lt;=7,INDEX(Students!$B:$B,ROW()-12+1),""))</f>
        <v/>
      </c>
      <c r="B14">
        <f>IF(A14="","",VLOOKUP(A14,Students!$B:$F,5,FALSE))</f>
        <v/>
      </c>
      <c r="C14" s="4">
        <f>IF(A14="","",VLOOKUP(A14,Students!$B:$J,9,FALSE))</f>
        <v/>
      </c>
      <c r="D14">
        <f>IF(A14="","",VLOOKUP(A14,Students!$B:$K,10,FALSE))</f>
        <v/>
      </c>
      <c r="E14">
        <f>IF(A14="","",VLOOKUP(A14,Students!$B:$L,11,FALSE))</f>
        <v/>
      </c>
    </row>
    <row r="15">
      <c r="A15">
        <f>IF(ROW()-12&gt;COUNTA(Students!$B:$B),"",IF(INDEX(Students!$K:$K,ROW()-12+1)&lt;=7,INDEX(Students!$B:$B,ROW()-12+1),""))</f>
        <v/>
      </c>
      <c r="B15">
        <f>IF(A15="","",VLOOKUP(A15,Students!$B:$F,5,FALSE))</f>
        <v/>
      </c>
      <c r="C15" s="4">
        <f>IF(A15="","",VLOOKUP(A15,Students!$B:$J,9,FALSE))</f>
        <v/>
      </c>
      <c r="D15">
        <f>IF(A15="","",VLOOKUP(A15,Students!$B:$K,10,FALSE))</f>
        <v/>
      </c>
      <c r="E15">
        <f>IF(A15="","",VLOOKUP(A15,Students!$B:$L,11,FALSE))</f>
        <v/>
      </c>
    </row>
    <row r="16">
      <c r="A16">
        <f>IF(ROW()-12&gt;COUNTA(Students!$B:$B),"",IF(INDEX(Students!$K:$K,ROW()-12+1)&lt;=7,INDEX(Students!$B:$B,ROW()-12+1),""))</f>
        <v/>
      </c>
      <c r="B16">
        <f>IF(A16="","",VLOOKUP(A16,Students!$B:$F,5,FALSE))</f>
        <v/>
      </c>
      <c r="C16" s="4">
        <f>IF(A16="","",VLOOKUP(A16,Students!$B:$J,9,FALSE))</f>
        <v/>
      </c>
      <c r="D16">
        <f>IF(A16="","",VLOOKUP(A16,Students!$B:$K,10,FALSE))</f>
        <v/>
      </c>
      <c r="E16">
        <f>IF(A16="","",VLOOKUP(A16,Students!$B:$L,11,FALSE))</f>
        <v/>
      </c>
    </row>
    <row r="17">
      <c r="A17">
        <f>IF(ROW()-12&gt;COUNTA(Students!$B:$B),"",IF(INDEX(Students!$K:$K,ROW()-12+1)&lt;=7,INDEX(Students!$B:$B,ROW()-12+1),""))</f>
        <v/>
      </c>
      <c r="B17">
        <f>IF(A17="","",VLOOKUP(A17,Students!$B:$F,5,FALSE))</f>
        <v/>
      </c>
      <c r="C17" s="4">
        <f>IF(A17="","",VLOOKUP(A17,Students!$B:$J,9,FALSE))</f>
        <v/>
      </c>
      <c r="D17">
        <f>IF(A17="","",VLOOKUP(A17,Students!$B:$K,10,FALSE))</f>
        <v/>
      </c>
      <c r="E17">
        <f>IF(A17="","",VLOOKUP(A17,Students!$B:$L,11,FALSE))</f>
        <v/>
      </c>
    </row>
    <row r="18">
      <c r="A18">
        <f>IF(ROW()-12&gt;COUNTA(Students!$B:$B),"",IF(INDEX(Students!$K:$K,ROW()-12+1)&lt;=7,INDEX(Students!$B:$B,ROW()-12+1),""))</f>
        <v/>
      </c>
      <c r="B18">
        <f>IF(A18="","",VLOOKUP(A18,Students!$B:$F,5,FALSE))</f>
        <v/>
      </c>
      <c r="C18" s="4">
        <f>IF(A18="","",VLOOKUP(A18,Students!$B:$J,9,FALSE))</f>
        <v/>
      </c>
      <c r="D18">
        <f>IF(A18="","",VLOOKUP(A18,Students!$B:$K,10,FALSE))</f>
        <v/>
      </c>
      <c r="E18">
        <f>IF(A18="","",VLOOKUP(A18,Students!$B:$L,11,FALSE))</f>
        <v/>
      </c>
    </row>
    <row r="19">
      <c r="A19">
        <f>IF(ROW()-12&gt;COUNTA(Students!$B:$B),"",IF(INDEX(Students!$K:$K,ROW()-12+1)&lt;=7,INDEX(Students!$B:$B,ROW()-12+1),""))</f>
        <v/>
      </c>
      <c r="B19">
        <f>IF(A19="","",VLOOKUP(A19,Students!$B:$F,5,FALSE))</f>
        <v/>
      </c>
      <c r="C19" s="4">
        <f>IF(A19="","",VLOOKUP(A19,Students!$B:$J,9,FALSE))</f>
        <v/>
      </c>
      <c r="D19">
        <f>IF(A19="","",VLOOKUP(A19,Students!$B:$K,10,FALSE))</f>
        <v/>
      </c>
      <c r="E19">
        <f>IF(A19="","",VLOOKUP(A19,Students!$B:$L,11,FALSE))</f>
        <v/>
      </c>
    </row>
    <row r="20">
      <c r="A20">
        <f>IF(ROW()-12&gt;COUNTA(Students!$B:$B),"",IF(INDEX(Students!$K:$K,ROW()-12+1)&lt;=7,INDEX(Students!$B:$B,ROW()-12+1),""))</f>
        <v/>
      </c>
      <c r="B20">
        <f>IF(A20="","",VLOOKUP(A20,Students!$B:$F,5,FALSE))</f>
        <v/>
      </c>
      <c r="C20" s="4">
        <f>IF(A20="","",VLOOKUP(A20,Students!$B:$J,9,FALSE))</f>
        <v/>
      </c>
      <c r="D20">
        <f>IF(A20="","",VLOOKUP(A20,Students!$B:$K,10,FALSE))</f>
        <v/>
      </c>
      <c r="E20">
        <f>IF(A20="","",VLOOKUP(A20,Students!$B:$L,11,FALSE))</f>
        <v/>
      </c>
    </row>
    <row r="21">
      <c r="A21">
        <f>IF(ROW()-12&gt;COUNTA(Students!$B:$B),"",IF(INDEX(Students!$K:$K,ROW()-12+1)&lt;=7,INDEX(Students!$B:$B,ROW()-12+1),""))</f>
        <v/>
      </c>
      <c r="B21">
        <f>IF(A21="","",VLOOKUP(A21,Students!$B:$F,5,FALSE))</f>
        <v/>
      </c>
      <c r="C21" s="4">
        <f>IF(A21="","",VLOOKUP(A21,Students!$B:$J,9,FALSE))</f>
        <v/>
      </c>
      <c r="D21">
        <f>IF(A21="","",VLOOKUP(A21,Students!$B:$K,10,FALSE))</f>
        <v/>
      </c>
      <c r="E21">
        <f>IF(A21="","",VLOOKUP(A21,Students!$B:$L,11,FALSE))</f>
        <v/>
      </c>
    </row>
    <row r="22">
      <c r="A22">
        <f>IF(ROW()-12&gt;COUNTA(Students!$B:$B),"",IF(INDEX(Students!$K:$K,ROW()-12+1)&lt;=7,INDEX(Students!$B:$B,ROW()-12+1),""))</f>
        <v/>
      </c>
      <c r="B22">
        <f>IF(A22="","",VLOOKUP(A22,Students!$B:$F,5,FALSE))</f>
        <v/>
      </c>
      <c r="C22" s="4">
        <f>IF(A22="","",VLOOKUP(A22,Students!$B:$J,9,FALSE))</f>
        <v/>
      </c>
      <c r="D22">
        <f>IF(A22="","",VLOOKUP(A22,Students!$B:$K,10,FALSE))</f>
        <v/>
      </c>
      <c r="E22">
        <f>IF(A22="","",VLOOKUP(A22,Students!$B:$L,11,FALSE))</f>
        <v/>
      </c>
    </row>
    <row r="23">
      <c r="A23">
        <f>IF(ROW()-12&gt;COUNTA(Students!$B:$B),"",IF(INDEX(Students!$K:$K,ROW()-12+1)&lt;=7,INDEX(Students!$B:$B,ROW()-12+1),""))</f>
        <v/>
      </c>
      <c r="B23">
        <f>IF(A23="","",VLOOKUP(A23,Students!$B:$F,5,FALSE))</f>
        <v/>
      </c>
      <c r="C23" s="4">
        <f>IF(A23="","",VLOOKUP(A23,Students!$B:$J,9,FALSE))</f>
        <v/>
      </c>
      <c r="D23">
        <f>IF(A23="","",VLOOKUP(A23,Students!$B:$K,10,FALSE))</f>
        <v/>
      </c>
      <c r="E23">
        <f>IF(A23="","",VLOOKUP(A23,Students!$B:$L,11,FALSE))</f>
        <v/>
      </c>
    </row>
    <row r="24">
      <c r="A24">
        <f>IF(ROW()-12&gt;COUNTA(Students!$B:$B),"",IF(INDEX(Students!$K:$K,ROW()-12+1)&lt;=7,INDEX(Students!$B:$B,ROW()-12+1),""))</f>
        <v/>
      </c>
      <c r="B24">
        <f>IF(A24="","",VLOOKUP(A24,Students!$B:$F,5,FALSE))</f>
        <v/>
      </c>
      <c r="C24" s="4">
        <f>IF(A24="","",VLOOKUP(A24,Students!$B:$J,9,FALSE))</f>
        <v/>
      </c>
      <c r="D24">
        <f>IF(A24="","",VLOOKUP(A24,Students!$B:$K,10,FALSE))</f>
        <v/>
      </c>
      <c r="E24">
        <f>IF(A24="","",VLOOKUP(A24,Students!$B:$L,11,FALSE))</f>
        <v/>
      </c>
    </row>
    <row r="25">
      <c r="A25">
        <f>IF(ROW()-12&gt;COUNTA(Students!$B:$B),"",IF(INDEX(Students!$K:$K,ROW()-12+1)&lt;=7,INDEX(Students!$B:$B,ROW()-12+1),""))</f>
        <v/>
      </c>
      <c r="B25">
        <f>IF(A25="","",VLOOKUP(A25,Students!$B:$F,5,FALSE))</f>
        <v/>
      </c>
      <c r="C25" s="4">
        <f>IF(A25="","",VLOOKUP(A25,Students!$B:$J,9,FALSE))</f>
        <v/>
      </c>
      <c r="D25">
        <f>IF(A25="","",VLOOKUP(A25,Students!$B:$K,10,FALSE))</f>
        <v/>
      </c>
      <c r="E25">
        <f>IF(A25="","",VLOOKUP(A25,Students!$B:$L,11,FALSE))</f>
        <v/>
      </c>
    </row>
    <row r="26">
      <c r="A26">
        <f>IF(ROW()-12&gt;COUNTA(Students!$B:$B),"",IF(INDEX(Students!$K:$K,ROW()-12+1)&lt;=7,INDEX(Students!$B:$B,ROW()-12+1),""))</f>
        <v/>
      </c>
      <c r="B26">
        <f>IF(A26="","",VLOOKUP(A26,Students!$B:$F,5,FALSE))</f>
        <v/>
      </c>
      <c r="C26" s="4">
        <f>IF(A26="","",VLOOKUP(A26,Students!$B:$J,9,FALSE))</f>
        <v/>
      </c>
      <c r="D26">
        <f>IF(A26="","",VLOOKUP(A26,Students!$B:$K,10,FALSE))</f>
        <v/>
      </c>
      <c r="E26">
        <f>IF(A26="","",VLOOKUP(A26,Students!$B:$L,11,FALSE))</f>
        <v/>
      </c>
    </row>
    <row r="27">
      <c r="A27">
        <f>IF(ROW()-12&gt;COUNTA(Students!$B:$B),"",IF(INDEX(Students!$K:$K,ROW()-12+1)&lt;=7,INDEX(Students!$B:$B,ROW()-12+1),""))</f>
        <v/>
      </c>
      <c r="B27">
        <f>IF(A27="","",VLOOKUP(A27,Students!$B:$F,5,FALSE))</f>
        <v/>
      </c>
      <c r="C27" s="4">
        <f>IF(A27="","",VLOOKUP(A27,Students!$B:$J,9,FALSE))</f>
        <v/>
      </c>
      <c r="D27">
        <f>IF(A27="","",VLOOKUP(A27,Students!$B:$K,10,FALSE))</f>
        <v/>
      </c>
      <c r="E27">
        <f>IF(A27="","",VLOOKUP(A27,Students!$B:$L,11,FALSE))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2026-09-09T13:17:38Z</dcterms:created>
  <dcterms:modified xsi:type="dcterms:W3CDTF">2026-09-09T13:17:38Z</dcterms:modified>
</cp:coreProperties>
</file>